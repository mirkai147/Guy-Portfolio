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irka\Downloads\"/>
    </mc:Choice>
  </mc:AlternateContent>
  <xr:revisionPtr revIDLastSave="0" documentId="13_ncr:1_{FCDF86F6-6B74-45FA-8038-9389B70E64C4}" xr6:coauthVersionLast="47" xr6:coauthVersionMax="47" xr10:uidLastSave="{00000000-0000-0000-0000-000000000000}"/>
  <bookViews>
    <workbookView xWindow="-120" yWindow="-120" windowWidth="29040" windowHeight="15840" tabRatio="500" xr2:uid="{00000000-000D-0000-FFFF-FFFF00000000}"/>
  </bookViews>
  <sheets>
    <sheet name="프로젝트 진행률" sheetId="1" r:id="rId1"/>
    <sheet name="TC_메인화면" sheetId="2" r:id="rId2"/>
    <sheet name="TC_튜토리얼" sheetId="3" r:id="rId3"/>
    <sheet name="TC_인게임" sheetId="4" r:id="rId4"/>
  </sheets>
  <definedNames>
    <definedName name="_xlnm.Print_Area" localSheetId="0">'프로젝트 진행률'!$A$1:$O$35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3" i="1" l="1"/>
  <c r="G52" i="1"/>
  <c r="G51" i="1"/>
  <c r="C52" i="1"/>
  <c r="C53" i="1"/>
  <c r="F53" i="1"/>
  <c r="E53" i="1"/>
  <c r="D53" i="1"/>
  <c r="F52" i="1"/>
  <c r="E52" i="1"/>
  <c r="D52" i="1"/>
  <c r="F51" i="1"/>
  <c r="E51" i="1"/>
  <c r="D51" i="1"/>
  <c r="C51" i="1"/>
  <c r="I53" i="1" l="1"/>
  <c r="H53" i="1"/>
  <c r="H52" i="1"/>
  <c r="I52" i="1"/>
  <c r="H51" i="1"/>
  <c r="I51" i="1"/>
  <c r="B5" i="1" l="1"/>
  <c r="I5" i="1"/>
</calcChain>
</file>

<file path=xl/sharedStrings.xml><?xml version="1.0" encoding="utf-8"?>
<sst xmlns="http://schemas.openxmlformats.org/spreadsheetml/2006/main" count="2089" uniqueCount="800">
  <si>
    <t xml:space="preserve">서로 덱에서 카드 5장씩 드로우 후 선공 플레이어의 턴 정상 진행 </t>
  </si>
  <si>
    <t>효과 확인 버튼 상단에 이번 턴 적용&amp;사용된 카드의 효과 수 표시</t>
  </si>
  <si>
    <t>매칭된 상대 사용자가 설정한 상단 필드 파츠의 제외존 이미지 비활성화</t>
  </si>
  <si>
    <t>매칭된 상대 사용자가 설정한 상단 필드 파츠의 제외존 이미지 활성화</t>
  </si>
  <si>
    <t>상대 수비 표시 카드가 파괴, 상대 라이프 포인트에 전투 데미지 적용</t>
  </si>
  <si>
    <t>매칭된 상대 사용자가 설정한 상단 필드 파츠의 묘지 이미지 활성화</t>
  </si>
  <si>
    <t>해당 마력 카운터 카드의 현재 마력 카운터 숫자가 해당 카드 위에 표시</t>
  </si>
  <si>
    <t>1. 배틀 스텝으로 진입해 배틀 스텝 과정 진행
2. 데미지 계산 단계에서 사용자의 공격 표시 카드의 공격력과 상대 수비 표시 카드의 수비력 차이 만큼 사용자 라이프 포인트에 전투 데미지</t>
  </si>
  <si>
    <t>첫번째 링크 소환하는 카드가 엑스트라 몬스터 존에만 소환되는지 확인</t>
  </si>
  <si>
    <t>덱에 설정된 레귤레이션이 제한인 해당 카드의 왼쪽 상단에 제한 마크 표시</t>
  </si>
  <si>
    <t>매칭된 상대 사용자가 설정한 상단 필드 파츠의 제외존 이미지 정상 활성화</t>
  </si>
  <si>
    <t>상단 메인 필드의 카드가 뒷면 표시로 세트되어 있고 해당 카드를 탭 했을 경우</t>
  </si>
  <si>
    <t>카드가 4번 마법&amp;함정 존으로 이동, 마법 카드의 효과 발동, 효과 정상 적용,
"마법 카드는 주로 자신의 턴에 사용합니다" 텍스트 표시</t>
  </si>
  <si>
    <t>카드가 1번 마법&amp;함정 존으로 이동, 마법 카드의 효과 발동, 효과 정상 적용, 
"마법 카드는 주로 자신의 턴에 사용합니다" 텍스트 표시</t>
  </si>
  <si>
    <t>카드가 3번 마법&amp;함정 존으로 이동, 마법 카드의 효과 발동, 효과 정상 적용,
"마법 카드는 주로 자신의 턴에 사용합니다" 텍스트 표시</t>
  </si>
  <si>
    <t>1. 매칭된 상대 사용자가 설정한 닉네임 정상 미표시
2. 매칭된 상대 사용자의 현재 체력이 우측 캐릭터 포트레이트 이미지 아래로 정상 이동</t>
  </si>
  <si>
    <t>카드가 2번 마법&amp;함정 존으로 이동, 마법 카드의 효과 발동, 효과 정상 적용,
"마법 카드는 주로 자신의 턴에 사용합니다" 텍스트 표시</t>
  </si>
  <si>
    <t>효과 확인 버튼 상단에 이번 턴 적용&amp;사용된 카드의 효과 수 정상 표시</t>
  </si>
  <si>
    <t>사용자의 현재 엑스트라 덱 개수만큼 엑스트라 덱 이미지 정상 표시</t>
  </si>
  <si>
    <t>뒷면 표시로 세트된 하단 마법&amp;함정 필드의 카드의 이미지 실루엣 표시</t>
  </si>
  <si>
    <t>이번 턴 적용되고 있는 카드의 효과&amp;사용된 카드의 효과가 있을 경우</t>
  </si>
  <si>
    <t>하단 필드 제외존에 있는 카드가 소환, 효과 발동이 둘 다 가능한 경우</t>
  </si>
  <si>
    <t>탭&amp;홀드한 상단 마법&amp;함정 필드의 카드 상세정보 팝업 정상 미표시</t>
  </si>
  <si>
    <t>매칭된 상대 사용자가 설정한 상단 필드 파츠의 묘지 이미지 정상 활성화</t>
  </si>
  <si>
    <t>매칭된 상대 사용자가 설정한 듀얼 필드의 특수 동작 효과 정상 표시</t>
  </si>
  <si>
    <t>화면 양옆에 "Final Blow!" 출력, 상대의 LP가 0이 됨</t>
  </si>
  <si>
    <t>엑스트라 몬스터 존에 자신의 링크 몬스터가 없을 때 링크 소환할 경우</t>
  </si>
  <si>
    <t>현재 상세 정보 보기 중인 덱에 소지 매수 표시가 켜져 있을 경우</t>
  </si>
  <si>
    <t>상대 공격 표시 카드가 파괴, 상대 라이프 포인트에 전투 데미지 적용</t>
  </si>
  <si>
    <t>상대 플레이어 직접 공격, 화면 중앙에 DIRECT ATTACK 출력</t>
  </si>
  <si>
    <t>카드 선택 상태 활성화, 필드 선택 상태 활성화, 카드 정보 표시</t>
  </si>
  <si>
    <t>카드가 2번 메인 몬스터 존으로 이동, "일반 소환은 1턴에 1번만 실행할 수 있습니다" 텍스트 표시</t>
  </si>
  <si>
    <t>패의 8,9 레벨 몬스터 카드를 소환할 때,
필드의 몬스터 카드 2장을 코스트로 어드밴스 소환하는지 확인</t>
  </si>
  <si>
    <t>카드가 5번 메인 몬스터 존으로 이동, "일반 소환은 1턴에 1번만 실행할 수 있습니다" 텍스트 표시</t>
  </si>
  <si>
    <t>패의 6,7 레벨 이상 몬스터 카드를 소환할 때,
필드의 몬스터 카드 1장을 코스트로 어드밴스 소환 확인</t>
  </si>
  <si>
    <t>카드가 3번 메인 몬스터 존으로 이동, "일반 소환은 1턴에 1번만 실행할 수 있습니다" 텍스트 표시</t>
  </si>
  <si>
    <t>패의 6,7 레벨 몬스터 카드를 소환할 때,
필드의 몬스터 카드 1장을 코스트로 어드밴스 소환하는지 확인</t>
  </si>
  <si>
    <t>카드가 1번 메인 몬스터 존으로 이동, "일반 소환은 1턴에 1번만 실행할 수 있습니다" 텍스트 표시</t>
  </si>
  <si>
    <t>1. 배틀 스텝으로 진입해 배틀 스텝 과정 진행
2. 데미지 계산 단계에서 상대 수비 표시 카드 파괴</t>
  </si>
  <si>
    <t>카드가 4번 메인 몬스터 존으로 이동, "일반 소환은 1턴에 1번만 실행할 수 있습니다" 텍스트 표시</t>
  </si>
  <si>
    <t>1. 듀얼 라이브 버튼 탭
2. 듀얼 라이브 이벤트 확인
3. 듀얼 라이브 버튼 레드닷 표시 사라짐 확인</t>
  </si>
  <si>
    <t>뒷면 표시로 세트된 하단 마법&amp;함정 필드의 카드의 이미지 실루엣 정상 표시</t>
  </si>
  <si>
    <t>매칭된 상대 사용자가 설정한 상단 필드 파츠의 제외존 이미지 정상 비활성화</t>
  </si>
  <si>
    <t>1. 배틀 스텝으로 진입해 배틀 스텝 과정 진행
2. 데미지 계산 단계에서 뒷면 수비 표시 카드 리버스(앞면 수비 표시)</t>
  </si>
  <si>
    <t>하단 메인 필드의 카드가 앞면 표시로 세트되어 있고 해당 카드를 탭 했을 경우</t>
  </si>
  <si>
    <t>선공 플레이어의 첫번째 턴에 공격 선언 불가능, 배틀 페이즈 진입 불가능 확인</t>
  </si>
  <si>
    <t>필드의 뒷면 수비 표시 카드를 반전 소환할 때 앞면 공격 표시 변경 확인</t>
  </si>
  <si>
    <t>필드의 뒷면 수비 표시 카드를 반전 소환할 때 앞면 공격 표시로 변경 확인</t>
  </si>
  <si>
    <t>상단 메인 필드의 카드가 앞면 표시로 세트되어 있고 해당 카드를 탭 했을 경우</t>
  </si>
  <si>
    <t>사용자의 공격 표시 카드의 공격력만큼 상대 라이프 포인트에 전투 데미지 적용</t>
  </si>
  <si>
    <t>덱에 설정된 레귤레이션이 제한인 해당 카드의 왼쪽 상단에 제한 마크 정상 표시</t>
  </si>
  <si>
    <t>덱에 설정된 레귤레이션이 준제한인 해당 카드의 왼쪽 상단에 준제한 마크 표시</t>
  </si>
  <si>
    <t>매칭된 상대 사용자의 현재 메인 덱 개수만큼 메인 덱 개수 이미지 정상 표시</t>
  </si>
  <si>
    <t>매칭된 상대 사용자의 현재 엑스트라 덱 개수만큼 엑스트라 덱 이미지 정상 표시</t>
  </si>
  <si>
    <t>매칭된 상대 사용자가 설정한 상단 필드 파츠의 묘지 이미지 정상 비활성화</t>
  </si>
  <si>
    <t>사용자의 공격 표시 카드가 파괴, 사용자 라이프 포인트에 전투 데미지 적용</t>
  </si>
  <si>
    <t>덱에 설정된 레귤레이션이 금지인 해당 카드의 왼쪽 상단에 금지 마크 표시</t>
  </si>
  <si>
    <t>덱에 설정된 레귤레이션이 금지인 해당 카드의 왼쪽 상단에 금지 마크 정상 표시</t>
  </si>
  <si>
    <t>하단 메인 필드의 카드가 뒷면 표시로 세트되어 있고 해당 카드를 탭 했을 경우</t>
  </si>
  <si>
    <t>메인 필드에 앞면 표시로 세트된 카드의 공격력과 수비력 n/n 형식으로 표시</t>
  </si>
  <si>
    <t>듀얼 로그 팝업이 표시되고 있고 듀얼 로그 팝업 외 화면을 탭 했을 경우</t>
  </si>
  <si>
    <t>1. 배틀 스텝으로 진입해 배틀 스텝 과정 진행
2. 데미지 계산 단계에서 사용자의 공격 표시 카드의 공격력만큼 상대 라이프 포인트에 전투 데미지</t>
  </si>
  <si>
    <t>매칭된 상대 사용자가 설정한 상단 필드 파츠의 묘지 이미지 비활성화</t>
  </si>
  <si>
    <t>하단 필드 묘지에 있는 카드가 소환, 효과 발동이 둘 다 가능한 경우</t>
  </si>
  <si>
    <t>턴을 진행하고 있고 드로우 페이즈이며 선공 플레이어의 첫번째 턴일 경우</t>
  </si>
  <si>
    <t>엑시즈 소환의 소재가 된 카드가 액시즈 소환된 카드에 겹쳐지는지 확인</t>
  </si>
  <si>
    <t>"상대의 라이프 포인트(LP)를 0으로 만들어봅시다" 텍스트 표시</t>
  </si>
  <si>
    <t>현재 상세 정보 보기 중인 덱에 소지 매수 표시가 꺼져 있을 경우</t>
  </si>
  <si>
    <t>상단 메인 필드의 카드가 앞면 표시로 세트되어 있고 해당 카드를 탭&amp;홀드 했을 경우</t>
  </si>
  <si>
    <t>배경</t>
  </si>
  <si>
    <t>진행</t>
  </si>
  <si>
    <t>인게임</t>
  </si>
  <si>
    <t>N/A</t>
  </si>
  <si>
    <t>프로필</t>
  </si>
  <si>
    <t>전체</t>
  </si>
  <si>
    <t>로비</t>
  </si>
  <si>
    <t>매칭</t>
  </si>
  <si>
    <t>듀얼</t>
  </si>
  <si>
    <t>미션</t>
  </si>
  <si>
    <t>탑인포</t>
  </si>
  <si>
    <t>구분</t>
  </si>
  <si>
    <t>덱</t>
  </si>
  <si>
    <t>드로우</t>
  </si>
  <si>
    <t>중분류</t>
  </si>
  <si>
    <t>대분류</t>
  </si>
  <si>
    <t>사용자가 설정한 닉네임 정상 표시</t>
  </si>
  <si>
    <t>듀얼 룸 참가 중(호스트) 표시</t>
  </si>
  <si>
    <t>정상적으로 덱의 대표 카드 사라짐</t>
  </si>
  <si>
    <t>사용자의 현재 체력 정상 표시</t>
  </si>
  <si>
    <t>NEURON 내보내기 버튼 탭</t>
  </si>
  <si>
    <t>상단 메인 덱 프로텍터 이미지</t>
  </si>
  <si>
    <t>정보 버튼에 레드닷 표시 여부 확인</t>
  </si>
  <si>
    <t>슬라이더 오른쪽 화살표 버튼 탭</t>
  </si>
  <si>
    <t>사용자의 메이트 3D 모델 확인</t>
  </si>
  <si>
    <t>상단 엑스트라 덱 이미지 표시</t>
  </si>
  <si>
    <t>필드의 모든 상세 정보 정상 표시</t>
  </si>
  <si>
    <t>미션 버튼에 레드닷 표시 여부 확인</t>
  </si>
  <si>
    <t>해당 덱의 덱 상세 정보 이동</t>
  </si>
  <si>
    <t>좌측 캐릭터 포트레이트 테두리</t>
  </si>
  <si>
    <t>좌측 하단 메이트 이미지 표시</t>
  </si>
  <si>
    <t>사용자가 설정한 덱 이름 정상 표시</t>
  </si>
  <si>
    <t>이벤트 덱이 생성되어 있을 경우</t>
  </si>
  <si>
    <t>진행 중인 이벤트 듀얼이 없을 경우</t>
  </si>
  <si>
    <t>하단 필드 묘지에 카드가 있을 경우</t>
  </si>
  <si>
    <t>하단 엑스트라 덱 프로텍터 이미지</t>
  </si>
  <si>
    <t>슬라이더 듀얼 라이브 이미지 탭</t>
  </si>
  <si>
    <t>슬라이더 왼쪽 화살표 버튼 탭</t>
  </si>
  <si>
    <t>해당 덱의 액세서리 변경 이동</t>
  </si>
  <si>
    <t>슬라이더 이벤트 듀얼 이미지 탭</t>
  </si>
  <si>
    <t>덱 레시피 내보내기 팝업 표시</t>
  </si>
  <si>
    <t>효과 처리 버튼이 ON 상태일 경우</t>
  </si>
  <si>
    <t>우측 캐릭터 포트레이트 이미지 탭</t>
  </si>
  <si>
    <t>사용자가 설정한 덱 이름 표시</t>
  </si>
  <si>
    <t>좌측 캐릭터 포트레이트 이미지 탭</t>
  </si>
  <si>
    <t>참여하고 있는 듀얼 룸이 없을 경우</t>
  </si>
  <si>
    <t>현재 턴이 사용자의 턴일 경우</t>
  </si>
  <si>
    <t>탭한 카드의 상세 정보 팝업 표시</t>
  </si>
  <si>
    <t>하단 엑스트라 덱 이미지 미표시</t>
  </si>
  <si>
    <t>빠른 듀얼 버튼 정상적으로 노출</t>
  </si>
  <si>
    <t>슬라이더 신규 카드팩 이미지 탭</t>
  </si>
  <si>
    <t>상단 엑스트라 덱 프로텍터 이미지</t>
  </si>
  <si>
    <t>상단 메인 덱을 탭&amp;홀드 중일 경우</t>
  </si>
  <si>
    <t>우측 캐릭터 포트레이트 이미지</t>
  </si>
  <si>
    <t>생성된 덱이 덱 최대치일 경우</t>
  </si>
  <si>
    <t>이벤트 듀얼을 노출하고 있는 상태</t>
  </si>
  <si>
    <t>사용자가 설정한 듀얼 필드 표시</t>
  </si>
  <si>
    <t>각 덱의 레귤레이션 설정 표시</t>
  </si>
  <si>
    <t>사용자가 설정한 메이트 베이스 표시</t>
  </si>
  <si>
    <t>사용자가 설정한 덱 대표 카드 표시</t>
  </si>
  <si>
    <t>우측 사용자의 MD 검정 등급</t>
  </si>
  <si>
    <t>"턴을 종료합시다" 텍스트 표시</t>
  </si>
  <si>
    <t>진행 중인 이벤트 듀얼이 있을 경우</t>
  </si>
  <si>
    <t>덱 소지 상한 문구 팝업 노출</t>
  </si>
  <si>
    <t>해당 덱의 프로텍터 설정 이동</t>
  </si>
  <si>
    <t>사용자가 설정한 코인 정상 표시</t>
  </si>
  <si>
    <t>우측 캐릭터 포트레이트 테두리</t>
  </si>
  <si>
    <t>사용자가 설정한 메이트 정상 표시</t>
  </si>
  <si>
    <t>좌측 캐릭터 포트레이트 이미지</t>
  </si>
  <si>
    <t>슬라이더가 다음 이미지로 변경</t>
  </si>
  <si>
    <t>카드 드래그 후 공격할 대상 지정</t>
  </si>
  <si>
    <t>카드 세부 정보의 카드 이미지 탭</t>
  </si>
  <si>
    <t>사용자가 설정한 프로텍터 정상 표시</t>
  </si>
  <si>
    <t>사용자가 설정한 필드 파츠 표시</t>
  </si>
  <si>
    <t>필드의 카드 선택 상태 활성화</t>
  </si>
  <si>
    <t>우측 상단 메이트를 탭 했을 경우</t>
  </si>
  <si>
    <t>사용자가 설정한 프로텍터 표시</t>
  </si>
  <si>
    <t>듀얼 룸 이용 가능 정상 표시</t>
  </si>
  <si>
    <t>카드 세부 정보의 바깥 영역 탭</t>
  </si>
  <si>
    <t>상단 필드 묘지에 카드가 있을 경우</t>
  </si>
  <si>
    <t>덱 대표카드 버튼이 켜져있을 경우</t>
  </si>
  <si>
    <t>드로우 할 수 없을 때 게임 패배</t>
  </si>
  <si>
    <t>덱의 레귤레이션 설정 정상 표시</t>
  </si>
  <si>
    <t>슬라이더가 이전 이미지로 변경</t>
  </si>
  <si>
    <t>선공 플레이어의 첫번째 턴일 경우</t>
  </si>
  <si>
    <t>상단 메인 덱 이미지 정상 미표시</t>
  </si>
  <si>
    <t>서로에게 아무 처리도 일어나지 않음</t>
  </si>
  <si>
    <t>현재 턴이 상대 사용자의 턴일 경우</t>
  </si>
  <si>
    <t>상단 엑스트라 덱 이미지 미표시</t>
  </si>
  <si>
    <t>해당 덱의 필드 파츠 설정 이동</t>
  </si>
  <si>
    <t>덱 대표카드 버튼이 꺼져있을 경우</t>
  </si>
  <si>
    <t>상점-카드팩 구입 페이지로 이동</t>
  </si>
  <si>
    <t>해당 덱의 카드 케이스 설정 이동</t>
  </si>
  <si>
    <t>덱 확인 / 카피 / 삭제 버튼 탭</t>
  </si>
  <si>
    <t>우측 상단 메이트 이미지 표시</t>
  </si>
  <si>
    <t>좌측 하단 메이트를 탭 했을 경우</t>
  </si>
  <si>
    <t>"당신은 후공입니다" 텍스트 표시</t>
  </si>
  <si>
    <t>듀얼 라이브를 노출하고 있는 상태</t>
  </si>
  <si>
    <t>사용자가 임의의 화면 조작을 했을때</t>
  </si>
  <si>
    <t>효과 처리 버튼이 ON 상태로 표시</t>
  </si>
  <si>
    <t>몬스터 카드 선택 상태 활성화</t>
  </si>
  <si>
    <t>해당 덱의 듀얼 필드 설정 이동</t>
  </si>
  <si>
    <t>빠른 듀얼 버튼 정상적으로 사라짐</t>
  </si>
  <si>
    <t>슬라이더 조작을 하지 않은 상태</t>
  </si>
  <si>
    <t>신규 카드팩을 노출하고 있는 상태</t>
  </si>
  <si>
    <t>상단 필드 묘지에 카드가 없을 경우</t>
  </si>
  <si>
    <t>하단 메인 덱 프로텍터 이미지</t>
  </si>
  <si>
    <t>하단 필드 묘지에 카드가 없을 경우</t>
  </si>
  <si>
    <t>카드가 효과 발동 가능한 경우</t>
  </si>
  <si>
    <t>하단 메인 덱 이미지 정상 미표시</t>
  </si>
  <si>
    <t>미션의 남은 기한이 정상적으로 표시</t>
  </si>
  <si>
    <t>미션의 남은 기한 표시 여부 확인</t>
  </si>
  <si>
    <t>하단 엑스트라 덱 이미지 표시</t>
  </si>
  <si>
    <t>1. 솔로 모드 버튼 탭
2. 솔로 모드 버튼 레드닷 표시 사라짐 확인</t>
  </si>
  <si>
    <t>하단 듀얼 필드 이미지 표시</t>
  </si>
  <si>
    <t>페이즈 선택 팝업 닫음</t>
  </si>
  <si>
    <t>필드 선택 상태 활성화</t>
  </si>
  <si>
    <t>서로의 공격 표시 카드 파괴</t>
  </si>
  <si>
    <t>해당 덱의 대표 카드 사라짐</t>
  </si>
  <si>
    <t>VICTORY 창 출력</t>
  </si>
  <si>
    <t>상대 수비 표시 카드가 파괴</t>
  </si>
  <si>
    <t>1번 마법&amp;함정 존 선택</t>
  </si>
  <si>
    <t>상대의 LP가 0일 때</t>
  </si>
  <si>
    <t>2번 마법&amp;함정 존 선택</t>
  </si>
  <si>
    <t>메인 페이즈 2 버튼 탭</t>
  </si>
  <si>
    <t>싱크로 소환 했을 경우</t>
  </si>
  <si>
    <t>카드 이미지 바깥 영역 탭</t>
  </si>
  <si>
    <t>배틀 페이즈 버튼 강조 표시</t>
  </si>
  <si>
    <t>듀얼 룸 참가 중 정상 노출</t>
  </si>
  <si>
    <t>메인 페이즈 1 버튼 탭</t>
  </si>
  <si>
    <t>카드 선택 상태 활성화</t>
  </si>
  <si>
    <t>젬 구입 상점으로 이동</t>
  </si>
  <si>
    <t>2번 메인 몬스터 존 선택</t>
  </si>
  <si>
    <t>페이즈 선택 팝업 노출</t>
  </si>
  <si>
    <t>4번 마법&amp;함정 존 선택</t>
  </si>
  <si>
    <t>5번 마법&amp;함정 존 선택</t>
  </si>
  <si>
    <t>페이즈 버튼 강조 표시</t>
  </si>
  <si>
    <t>덱에서 카드 1장을 드로우</t>
  </si>
  <si>
    <t>사용자가 설정한 메이트 표시</t>
  </si>
  <si>
    <t>사용자의 랭크 듀얼 티어</t>
  </si>
  <si>
    <t>메이트 베이스 설정 이동</t>
  </si>
  <si>
    <t>카드 이미지 확대 표시 닫음</t>
  </si>
  <si>
    <t>덱 추가 버튼 비활성화</t>
  </si>
  <si>
    <t>4번 메인 몬스터 존 선택</t>
  </si>
  <si>
    <t>사용자의 MD 검정 등급</t>
  </si>
  <si>
    <t>3번 마법&amp;함정 존 선택</t>
  </si>
  <si>
    <t>어드밴스 소환 했을 경우</t>
  </si>
  <si>
    <t>1번 메인 몬스터 존 선택</t>
  </si>
  <si>
    <t>패의 카드 선택 상태 활성화</t>
  </si>
  <si>
    <t>카드 이미지 확대 표시</t>
  </si>
  <si>
    <t>카드를 공격 대상에게 드래그</t>
  </si>
  <si>
    <t>수비 표시로 변경 버튼 탭</t>
  </si>
  <si>
    <t>좌측 상단 뒤로가기 버튼 탭</t>
  </si>
  <si>
    <t>엑시즈 소환 했을 경우</t>
  </si>
  <si>
    <t>Draw 페이즈일 경우</t>
  </si>
  <si>
    <t>3번 메인 몬스터 존 선택</t>
  </si>
  <si>
    <t>카드 정보의 카드 이미지 탭</t>
  </si>
  <si>
    <t>좌측 사용자의 닉네임 표시</t>
  </si>
  <si>
    <t>상단 듀얼 필드 이미지 표시</t>
  </si>
  <si>
    <t>사용자의 팔로워 수 확인</t>
  </si>
  <si>
    <t>프로필 벽지 이미지 표시</t>
  </si>
  <si>
    <t>작은 빠른 듀얼 버튼 탭</t>
  </si>
  <si>
    <t>핵심 컨텐츠 이동 버튼</t>
  </si>
  <si>
    <t>Main 2 페이즈일 경우</t>
  </si>
  <si>
    <t>상단 메인 덱 이미지 표시</t>
  </si>
  <si>
    <t>Main 1 페이즈일 경우</t>
  </si>
  <si>
    <t>사용자의 메이트 이미지 확인</t>
  </si>
  <si>
    <t>상대 연결 끊김 메세지 출력</t>
  </si>
  <si>
    <t>슬라이더 정상적으로 작동</t>
  </si>
  <si>
    <t>커밍 순 메세지 정상 표시</t>
  </si>
  <si>
    <t>사용자의 메이트 이미지 탭</t>
  </si>
  <si>
    <t>Standby 페이즈일 경우</t>
  </si>
  <si>
    <t>이벤트 덱 제일 앞으로 배치</t>
  </si>
  <si>
    <t>효과 확인 팝업 미표시</t>
  </si>
  <si>
    <t>해당 덱의 대표 카드 표시</t>
  </si>
  <si>
    <t>페이즈 버튼을 탭 했을 경우</t>
  </si>
  <si>
    <t>연동 덱 레시피 버튼 탭</t>
  </si>
  <si>
    <t>5장 드로우 해보기 버튼 탭</t>
  </si>
  <si>
    <t>사용자의 팔로우 수 확인</t>
  </si>
  <si>
    <t>사용자 상세 프로필로 이동</t>
  </si>
  <si>
    <t>5번 메인 몬스터 존 선택</t>
  </si>
  <si>
    <t>해당 덱의 코인 설정 이동</t>
  </si>
  <si>
    <t>사용자의 레벨 정보 확인</t>
  </si>
  <si>
    <t>하단 메인 덱 이미지 미표시</t>
  </si>
  <si>
    <t>프로필 벽지 설정 이동</t>
  </si>
  <si>
    <t>듀얼 룸 이용 가능 표시</t>
  </si>
  <si>
    <t>사용자 프로필 정보 영역 탭</t>
  </si>
  <si>
    <t>메이트 베이스 이미지 탭</t>
  </si>
  <si>
    <t>생성한 듀얼 룸이 있을 경우</t>
  </si>
  <si>
    <t>연동 덱 레시피로 이동</t>
  </si>
  <si>
    <t>레귤레이션 선택 팝업 표시</t>
  </si>
  <si>
    <t>신규 덱 작성 팝업 노출</t>
  </si>
  <si>
    <t>프로필 벽지 이미지 탭</t>
  </si>
  <si>
    <t>페이즈 선택 팝업 표시</t>
  </si>
  <si>
    <t>사용자가 설정한 코인 표시</t>
  </si>
  <si>
    <t>이벤트 듀얼 정상 표시</t>
  </si>
  <si>
    <t>해당 덱의 메이트 설정 이동</t>
  </si>
  <si>
    <t>프로필 아이콘 설정 이동</t>
  </si>
  <si>
    <t>필드의 모든 상세 정보 표시</t>
  </si>
  <si>
    <t>사용자의 계정 ID 확인</t>
  </si>
  <si>
    <t>상단 메인 덱 이미지 미표시</t>
  </si>
  <si>
    <t>경험치 프로그래스 바 확인</t>
  </si>
  <si>
    <t>소지 매수 표시 버튼 탭</t>
  </si>
  <si>
    <t>이벤트 듀얼 정상 노출</t>
  </si>
  <si>
    <t>사용자가 생성한 덱 탭</t>
  </si>
  <si>
    <t>젬 재화 정보 표시 확인</t>
  </si>
  <si>
    <t>해당 덱의 덱 편집 이동</t>
  </si>
  <si>
    <t>상단 패 프로텍터 이미지</t>
  </si>
  <si>
    <t>듀얼 로그 팝업 미표시</t>
  </si>
  <si>
    <t>덱 리스트 &gt; 덱 메뉴 팝업</t>
  </si>
  <si>
    <t>시즌 포인트 화면 이동</t>
  </si>
  <si>
    <t>로딩 지연, 게임 진입 실패</t>
  </si>
  <si>
    <t>레귤레이션 선택 버튼 탭</t>
  </si>
  <si>
    <t>카드 세부 정보 표시 닫음</t>
  </si>
  <si>
    <t>5장 드로우 해보기로 이동</t>
  </si>
  <si>
    <t>젬 재화 표시 영역 탭</t>
  </si>
  <si>
    <t>마법 카드 선택 상태 활성화</t>
  </si>
  <si>
    <t>듀얼 룸 참가 중 표시</t>
  </si>
  <si>
    <t>Battle 페이즈일 경우</t>
  </si>
  <si>
    <t>하단 메인 덱 이미지 표시</t>
  </si>
  <si>
    <t>우측 사용자의 닉네임 표시</t>
  </si>
  <si>
    <t>우측 MD 검정 버튼 탭</t>
  </si>
  <si>
    <t>1. 배틀 스텝으로 진입해 배틀 스텝 과정 진행
2. 데미지 계산 단계에서 상대 수비 표시 카드 파괴, 공격 표시 카드의 공격력과 수비 표시 카드의 수비력 차이 만큼 상대 라이프 포인트에 전투 데미지</t>
  </si>
  <si>
    <t>상대 턴 시작, 상대가 "네오 버그" 카드를 드로우 후 일반 소환하고 턴을 종료</t>
  </si>
  <si>
    <t>카드 선택 상태 활성화, 상대 플레이어 직접 공격, 화면 중앙에 DIRECT ATTACK 출력</t>
  </si>
  <si>
    <t>1. 사용자가 설정한 닉네임이 정상 표시
2. 사용자의 현재 체력이 사용자 닉네임 아래로 정상 이동</t>
  </si>
  <si>
    <t>현재 상세 정보 보기 중인 덱에 장착된 모든 카드 오른쪽 아래에 해당 카드의 소지 개수 정상 표시</t>
  </si>
  <si>
    <t>1. 배틀 스텝으로 진입해 배틀 스텝 과정 진행
2. 데미지 계산 단계에서 아무 처리를 하지 않음</t>
  </si>
  <si>
    <t>1. 기프트 상자 버튼 탭
2. 기프트 상자 선물 수령
3. 기프트 상자 레드닷 표시 사라짐 확인</t>
  </si>
  <si>
    <t>패의 8,9 레벨 몬스터 카드를 소환할 때,
필드의 몬스터 카드 2장을 코스트로 어드밴스 소환 확인</t>
  </si>
  <si>
    <t xml:space="preserve">드래그&amp;드롭 범위가 현재 상세 정보 보기 중인 덱 리스트 장착 카드의 최하단을 벗어나지 않음 </t>
  </si>
  <si>
    <t>효과 확인 팝업 미표시 처리, 듀얼 로그 팝업 외 화면 암전 표시, 듀얼 로그 팝업 정상 표시</t>
  </si>
  <si>
    <t>카드가 5번 마법&amp;함정 존으로 이동, 마법 카드의 효과 발동, 효과 정상 적용
"마법 카드는 주로 자신의 턴에 사용합니다" 텍스트 표시</t>
  </si>
  <si>
    <t>1. 매칭된 상대 사용자가 설정한 닉네임이 정상 표시
2. 매칭된 상대 사용자의 현재 체력이 상대 사용자 닉네임 아래로 정상 이동</t>
  </si>
  <si>
    <t>1. 신규 팔로우 신청이 있고
사용자가 신청을 확인하지 않은 상태
2. 친구 대전 신청이 있고
사용자가 신청을 확인하지 않은 상태</t>
  </si>
  <si>
    <t>사용자의 공격 표시 카드가 관통 효과를 가지고 있고 상대 수비 표시 카드를 공격했을 때,
(사용자의 공격력 &gt; 상대 수비력) 일 경우</t>
  </si>
  <si>
    <t>상대 필드에 몬스터 카드가 존재하고 공격 선언할 카드가 직접 공격 몬스터가 아닐 경우</t>
  </si>
  <si>
    <t>현재 상세 정보 보기 중인 덱의 메인 덱과 엑스트라 덱에 장착된 카드 개수 표시</t>
  </si>
  <si>
    <t>현재 상세 정보 보기 중인 덱에 장착된 모든 카드 오른쪽 하단에 소지 개수 미표시</t>
  </si>
  <si>
    <t>메인 필드에 앞면 표시로 세트된 카드의 공격력과 수비력 n/n 형식으로 정상 표시</t>
  </si>
  <si>
    <t>상단 마법&amp;함정 필드의 카드가 앞면 표시로 세트되어 있고 해당 카드를 탭 했을 경우</t>
  </si>
  <si>
    <t>상단 메인 필드의 카드가 뒷면 표시로 세트되어 있고 해당 카드를 탭&amp;홀드 했을 경우</t>
  </si>
  <si>
    <t>레드닷 사라짐</t>
  </si>
  <si>
    <t>데이터 이동</t>
  </si>
  <si>
    <t>프로필 카드</t>
  </si>
  <si>
    <t>사전 조건</t>
  </si>
  <si>
    <t>튜토리얼</t>
  </si>
  <si>
    <t>편집 버튼 탭</t>
  </si>
  <si>
    <t>하단 버튼</t>
  </si>
  <si>
    <t>팀전 버튼 탭</t>
  </si>
  <si>
    <t>기대 결과</t>
  </si>
  <si>
    <t>슬라이더</t>
  </si>
  <si>
    <t>묘지, 제외존</t>
  </si>
  <si>
    <t>페이즈 버튼</t>
  </si>
  <si>
    <t>페이즈 진행</t>
  </si>
  <si>
    <t>BTS No.</t>
  </si>
  <si>
    <t>듀얼 메뉴</t>
  </si>
  <si>
    <t>리플레이 이동</t>
  </si>
  <si>
    <t>마이 덱</t>
  </si>
  <si>
    <t>상점 버튼 탭</t>
  </si>
  <si>
    <t>테스트 수행자</t>
  </si>
  <si>
    <t>미션 버튼 탭</t>
  </si>
  <si>
    <t>공격 버튼 탭</t>
  </si>
  <si>
    <t>Fail율</t>
  </si>
  <si>
    <t>수행 날짜</t>
  </si>
  <si>
    <t>화면 탭</t>
  </si>
  <si>
    <t>실제 결과</t>
  </si>
  <si>
    <t>카드 탭</t>
  </si>
  <si>
    <t>게임모드</t>
  </si>
  <si>
    <t>악세서리</t>
  </si>
  <si>
    <t>메인화면</t>
  </si>
  <si>
    <t>덱 리스트</t>
  </si>
  <si>
    <t>정보 버튼 탭</t>
  </si>
  <si>
    <t>Pass율</t>
  </si>
  <si>
    <t>마법 카드 탭</t>
  </si>
  <si>
    <t>설정 버튼 탭</t>
  </si>
  <si>
    <t>메인 필드</t>
  </si>
  <si>
    <t>취소 버튼 탭</t>
  </si>
  <si>
    <t>게임 시작</t>
  </si>
  <si>
    <t>미션으로 이동</t>
  </si>
  <si>
    <t>확인 버튼 탭</t>
  </si>
  <si>
    <t>로딩 대기</t>
  </si>
  <si>
    <t>빠른 듀얼</t>
  </si>
  <si>
    <t>화면 조작</t>
  </si>
  <si>
    <t>Blocked</t>
  </si>
  <si>
    <t>예 버튼 탭</t>
  </si>
  <si>
    <t>Pass</t>
  </si>
  <si>
    <t>듀얼 UI</t>
  </si>
  <si>
    <t>튜토리얼 진입</t>
  </si>
  <si>
    <t xml:space="preserve">화면 탭 </t>
  </si>
  <si>
    <t>튜토리얼 종료</t>
  </si>
  <si>
    <t>수행 액션</t>
  </si>
  <si>
    <t>Notes</t>
  </si>
  <si>
    <t>효과&amp;소환</t>
  </si>
  <si>
    <t>Fail</t>
  </si>
  <si>
    <t>상점으로 이동</t>
  </si>
  <si>
    <t>TC ID</t>
  </si>
  <si>
    <t>덱 버튼 탭</t>
  </si>
  <si>
    <t>세트 버튼 탭</t>
  </si>
  <si>
    <t>하단 마법&amp;함정 필드의 카드가 뒷면 표시로 세트되어 있을 경우</t>
  </si>
  <si>
    <t>사용자가 확인하지 않은
새로운 솔로 모드 스테이지가 있을 경우</t>
  </si>
  <si>
    <t>1. 팔로우 버튼 탭
2. 팔로우 버튼 레드닷 표시 사라짐 확인</t>
  </si>
  <si>
    <t>현재 상세 정보 보기 중인 덱의 레귤레이션 설정 정상 표시</t>
  </si>
  <si>
    <t>공격 표시 카드가 뒷면 수비 표시 카드를 공격 선언했을 경우</t>
  </si>
  <si>
    <t>수령 가능한 선물이 있고
사용자가 선물을 수령하지 않은 상태</t>
  </si>
  <si>
    <t>해당 카드의 현재 마력 카운터 숫자가 해당 카드 위에 정상 표시</t>
  </si>
  <si>
    <t>현재 상세 정보 보기 중인 덱에 장착된 카드를 탭 했을 경우</t>
  </si>
  <si>
    <t>매칭된 상대 사용자가 설정한 캐릭터 포트레이트 테두리 정상 표시</t>
  </si>
  <si>
    <t>탭&amp;홀드한 상단 마법&amp;함정 필드의 카드 상세정보 팝업 미표시</t>
  </si>
  <si>
    <t>탭&amp;홀드한 하단 마법&amp;함정 필드의 카드 상세정보 팝업 표시</t>
  </si>
  <si>
    <t>사용자가 설정한 하단 필드 파츠의 제외존 이미지 정상 비활성화</t>
  </si>
  <si>
    <t>첫번째 링크 소환하는 카드가 엑스트라 몬스터 존에만 소환 확인</t>
  </si>
  <si>
    <t>탭&amp;홀드한 하단 메인 필드의 카드 상세정보 팝업 정상 표시</t>
  </si>
  <si>
    <t>탭&amp;홀드한 상단 메인 필드의 카드 상세정보 팝업 정상 미표시</t>
  </si>
  <si>
    <t>1. 정보 버튼 탭
2. 정보 공지사항 확인
3. 정보 버튼 레드닷 표시 사라짐 확인</t>
  </si>
  <si>
    <t>클리어 조건을 달성한 미션이 있고
사용자가 미션 완료 보상을 수령하지 않은 상태</t>
  </si>
  <si>
    <t>"배틀 페이즈로 이동하여, 공격해 봅시다" 텍스트 표시, 페이즈 버튼 강조 표시</t>
  </si>
  <si>
    <t>하단 메인 필드의 카드가 앞면 표시로 세트되어 있고 해당 카드를 탭&amp;홀드 했을 경우</t>
  </si>
  <si>
    <t>하단 메인 필드의 카드가 뒷면 표시로 세트되어 있고 해당 카드를 탭&amp;홀드 했을 경우</t>
  </si>
  <si>
    <t>상단 마법&amp;함정 필드의 카드가 뒷면 표시로 세트되어 있고 해당 카드를 탭 했을 경우</t>
  </si>
  <si>
    <t>상대 필드에 몬스터 카드가 존재하고 공격 선언할 카드가 직접 공격 몬스터일 경우</t>
  </si>
  <si>
    <t>하단 마법&amp;함정 필드의 카드가 앞면 표시로 세트되어 있고 해당 카드를 탭 했을 경우</t>
  </si>
  <si>
    <t>하단 마법&amp;함정 필드의 카드가 뒷면 표시로 세트되어 있고 해당 카드를 탭 했을 경우</t>
  </si>
  <si>
    <t>덱에 설정된 레귤레이션이 준제한인 해당 카드의 왼쪽 상단에 준제한 마크 정상 표시</t>
  </si>
  <si>
    <t>현재 상세 정보 보기 중인 덱의 메인 덱과 엑스트라 덱에 장착된 카드 개수 정상 표시</t>
  </si>
  <si>
    <t>"상대 몬스터의 공격력을 넘은 만큼만 상대의 LP에 데미지를 줍니다" 텍스트 표시</t>
  </si>
  <si>
    <t>어드밴스 소환에 사용된 필드의 카드가 묘지로 이동하는지 확인</t>
  </si>
  <si>
    <t>새로운 이벤트 관련 라이브가 있고
사용자가 확인하지 않은 상태</t>
  </si>
  <si>
    <t>매칭된 상대 사용자가 설정한 캐릭터 포트레이트 이미지 정상 표시</t>
  </si>
  <si>
    <t>카드 축소화 후 "마법 카드를 드로우 했습니다" 텍스트 표시</t>
  </si>
  <si>
    <t>사용자가 설정한 하단 필드 파츠의 묘지 이미지 정상 비활성화</t>
  </si>
  <si>
    <t>탭&amp;홀드한 상단 메인 필드의 카드 상세정보 팝업 정상 표시</t>
  </si>
  <si>
    <t>"일반 소환은 1턴에 1번만 실행할 수 있습니다" 텍스트 표시</t>
  </si>
  <si>
    <t>매칭된 상대 사용자가 설정한 덱 프로텍터 이미지 정상 표시</t>
  </si>
  <si>
    <t>매칭된 상대 사용자의 현재 패 개수만큼 패 개수 정상 표시</t>
  </si>
  <si>
    <t>신규 공지가 등록되어 있고 
사용자가 공지를 확인하지 않은 상태</t>
  </si>
  <si>
    <t>이미 이번 턴에 소환되었거나 표시 형식을 변경한 카드일 경우</t>
  </si>
  <si>
    <t>하단 패 중 소환 가능한 패의 카드 파란색 두꺼운 테두리 표시</t>
  </si>
  <si>
    <t>사용자의 현재 메인 덱 개수만큼 메인 덱 개수 이미지 정상 표시</t>
  </si>
  <si>
    <t>하단 패 중 세트 가능한 패의 카드 파란색 얇은 테두리 표시</t>
  </si>
  <si>
    <t>매칭된 상대 사용자의 현재 엑스트라 덱 개수 팝업 정상 표시</t>
  </si>
  <si>
    <t>탭&amp;홀드한 상단 마법&amp;함정 필드의 카드 상세정보 팝업 표시</t>
  </si>
  <si>
    <t>사용자의 공격 표시 카드가 상대 플레이어를 직접 공격했을 경우</t>
  </si>
  <si>
    <t>카드 축소화 후 "몬스터 카드를 드로우했습니다" 텍스트 표시</t>
  </si>
  <si>
    <t>현재 상세 정보 보기 중인 덱에 장착된 카드 이미지 정상 표시</t>
  </si>
  <si>
    <t>듀얼 패스 등급이 올라 
새로운 보상을 획득할 수 있는 상태</t>
  </si>
  <si>
    <t>사용자가 설정한 하단 필드 파츠의 제외존 이미지 정상 활성화</t>
  </si>
  <si>
    <t>패의 4레벨 이하 몬스터 카드 공격, 수비표시 소환 가능 확인</t>
  </si>
  <si>
    <t>탭&amp;홀드한 하단 마법&amp;함정 필드의 카드 상세정보 팝업 정상 표시</t>
  </si>
  <si>
    <t>탭&amp;홀드한 상단 마법&amp;함정 필드의 카드 상세정보 팝업 정상 표시</t>
  </si>
  <si>
    <t>현재 상세 정보 보기 중인 덱의 카드 케이스 이미지 정상 표시</t>
  </si>
  <si>
    <t>사용자가 설정한 하단 필드 파츠의 묘지 이미지 정상 활성화</t>
  </si>
  <si>
    <t>매칭된 상대 사용자가 설정한 듀얼 필드의 특수 동작 효과 표시</t>
  </si>
  <si>
    <t>매칭된 상대 사용자가 설정한 메이트의 특수 동작 정상 표시</t>
  </si>
  <si>
    <t>1. 사용자가 설정한 닉네임 정상 미표시
2. 사용자의 현재 체력이 좌측 캐릭터 포트레이트 이미지 위로 정상 이동</t>
  </si>
  <si>
    <t>"상대 몬스터가 없을 경우의 공격은, 상대 플레이어로의 직접 공격이 됩니다" 텍스트 표시, 배틀 페이즈 이동</t>
  </si>
  <si>
    <t>덱 대표카드 버튼이 꺼져있고
사용자가 덱을 탭 해 대표카드가 켜져있는 상태에서
사용자가 다른 위치를 탭 했을 경우</t>
  </si>
  <si>
    <t>사용자의 공격 표시 카드가 상대 공격 표시 카드를 공격했을 때, 
(사용자의 공격력 &lt; 상대 공격력) 일 경우</t>
  </si>
  <si>
    <t>사용자의 공격 표시 카드가 상대 수비 표시 카드를 공격했을 때, 
(사용자의 공격력 &lt; 상대 수비력) 일 경우</t>
  </si>
  <si>
    <t>사용자의 공격 표시 카드가 상대 수비 표시 카드를 공격했을 때, 
(사용자의 공격력 = 상대 수비력) 일 경우</t>
  </si>
  <si>
    <t>1. 우측 사용자의 닉네임 미표시
2. 우측 라이프포인트(LP) 표시가 우측 캐릭터 포트레이트 이미지 아래로 이동</t>
  </si>
  <si>
    <t>사용자의 공격 표시 카드가 상대 공격 표시 카드를 공격했을 때, 
(사용자의 공격력 = 상대 공격력) 일 경우</t>
  </si>
  <si>
    <t>사용자의 공격 표시 카드가 상대 수비 표시 카드를 공격했을 때, 
(사용자의 공격력 &gt; 상대 수비력) 일 경우</t>
  </si>
  <si>
    <t>사용자의 공격 표시 카드가 상대 공격 표시 카드를 공격했을 때, 
(사용자의 공격력 &gt; 상대 공격력) 일 경우</t>
  </si>
  <si>
    <t>1. 좌측 사용자의 닉네임 미표시
2. 좌측 라이프포인트(LP) 표시가 좌측 캐릭터 포트레이트 이미지 아래로 이동</t>
  </si>
  <si>
    <t>1. 듀얼 패스 버튼 탭
2. 듀얼 패스 획득 가능 보상 수령
3. 듀얼 패스 버튼 레드닷 표시 사라짐 확인</t>
  </si>
  <si>
    <t>덱 편집 버튼 탭</t>
  </si>
  <si>
    <t>레드닷 정상 표시</t>
  </si>
  <si>
    <t>덱 메뉴 팝업 사라짐</t>
  </si>
  <si>
    <t>몬스터 카드 탭</t>
  </si>
  <si>
    <t>End 페이즈일 경우</t>
  </si>
  <si>
    <t>기타 정보 버튼 탭</t>
  </si>
  <si>
    <t>페이즈 버튼 탭</t>
  </si>
  <si>
    <t>프로텍터 이미지 탭</t>
  </si>
  <si>
    <t>융합 소환 했을 경우</t>
  </si>
  <si>
    <t>이벤트 듀얼로 이동</t>
  </si>
  <si>
    <t>하단 필드 파츠 표시</t>
  </si>
  <si>
    <t>튜토리얼 재시작</t>
  </si>
  <si>
    <t>플레이 버튼 터치</t>
  </si>
  <si>
    <t>듀얼 필드 이미지 탭</t>
  </si>
  <si>
    <t>랭크 듀얼로 이동</t>
  </si>
  <si>
    <t>덱 대표카드 버튼 탭</t>
  </si>
  <si>
    <t>마법&amp;함정 필드</t>
  </si>
  <si>
    <t>링크 소환 했을 경우</t>
  </si>
  <si>
    <t>CANCEL 버튼 탭</t>
  </si>
  <si>
    <t>듀얼 메뉴로 이동</t>
  </si>
  <si>
    <t>효과 확인 팝업 표시</t>
  </si>
  <si>
    <t>칭호 설정 이동</t>
  </si>
  <si>
    <t>사용자의 칭호 확인</t>
  </si>
  <si>
    <t>사용자의 칭호 탭</t>
  </si>
  <si>
    <t>기프트 상자로 이동</t>
  </si>
  <si>
    <t>팔로우 버튼 탭</t>
  </si>
  <si>
    <t>정보-공지로 이동</t>
  </si>
  <si>
    <t>사용자의 닉네임 탭</t>
  </si>
  <si>
    <t>튜토리얼 화면 진입</t>
  </si>
  <si>
    <t>듀얼 패스 버튼 탭</t>
  </si>
  <si>
    <t>팔로우 팝업 노출</t>
  </si>
  <si>
    <t>덱 삭제 팝업 표시</t>
  </si>
  <si>
    <t>현재 상세 정보 보기 중인 덱에 장착된 모든 카드 오른쪽 하단에 소지 개수 정상 미표시</t>
  </si>
  <si>
    <t>상단 마법&amp;함정 필드의 카드가 뒷면 표시로 세트되어 있고 해당 카드를 탭&amp;홀드 했을 경우</t>
  </si>
  <si>
    <t>하단 마법&amp;함정 필드의 카드가 앞면 표시로 세트되어 있고 해당 카드를 탭&amp;홀드 했을 경우</t>
  </si>
  <si>
    <t>상단 마법&amp;함정 필드의 카드가 앞면 표시로 세트되어 있고 해당 카드를 탭&amp;홀드 했을 경우</t>
  </si>
  <si>
    <t>1. 배틀 스텝으로 진입해 배틀 스텝 과정 진행
2. 데미지 계산 단계에서 서로의 카드 파괴</t>
  </si>
  <si>
    <t>현재 상세 정보 보기 중인 덱에 장착된 모든 카드 오른쪽 하단에 해당 카드의 소지 개수 표시</t>
  </si>
  <si>
    <t>현재 상세 정보 보기 중인 덱에 장착된 카드가 설정 레귤레이션에 따른 제한 카드일 경우</t>
  </si>
  <si>
    <t>마법&amp;함정 필드의 카드가 앞면 표시로 세트되어 있고 해당 카드가 마력 카운터 카드일 경우</t>
  </si>
  <si>
    <t>하단 마법&amp;함정 필드의 카드가 뒷면 표시로 세트되어 있고 해당 카드를 탭&amp;홀드 했을 경우</t>
  </si>
  <si>
    <t>현재 상세 정보 보기 중인 덱에 장착된 카드가 설정 레귤레이션에 따른 준제한 카드일 경우</t>
  </si>
  <si>
    <t>"상대 몬스터가 없을 경우의 공격은, 상대 플레이어로의 직접 공격이 됩니다" 텍스트 표시</t>
  </si>
  <si>
    <t>현재 상세 정보 보기 중인 덱에 장착된 카드가 설정 레귤레이션에 따른 금지 카드일 경우</t>
  </si>
  <si>
    <t>사용자의 공격 표시 카드가 상대 공격 표시 카드를 공격했을 때, 
서로의 공격력이 0일 경우</t>
  </si>
  <si>
    <t>서로 덱에서 카드 5장씩 드로우 후 선공 플레이어의 턴 진행 여부 확인</t>
  </si>
  <si>
    <t>듀얼 로그 팝업 외 화면 암전 미표시, 듀얼 로그 팝업 정상 미표시</t>
  </si>
  <si>
    <t>페이즈 버튼이 푸른 색으로 표시되며 버튼 조작 가능</t>
  </si>
  <si>
    <t>페이즈 버튼이 붉은 색으로 표시되며 페이즈 조작 불가</t>
  </si>
  <si>
    <t>뒷면 수비 표시 카드가 앞면 수비 표시 카드로 리버스</t>
  </si>
  <si>
    <t>상대가 "디지트론" 카드를 일반 소환하고 턴을 종료</t>
  </si>
  <si>
    <t>"배틀 페이즈로 이동하여, 공격해 봅시다" 텍스트 표시</t>
  </si>
  <si>
    <t>사용자가 설정한 하단 필드 파츠의 묘지 이미지 활성화</t>
  </si>
  <si>
    <t>페이즈 버튼이 붉은 색으로 표시되며 버튼 조작 불가</t>
  </si>
  <si>
    <t>탭&amp;홀드한 상단 메인 필드의 카드 상세정보 팝업 표시</t>
  </si>
  <si>
    <t>몬스터 카드의 공격/수비 표시 형식 변경 불가능 확인</t>
  </si>
  <si>
    <t>매칭된 상대 사용자의 현재 메인 덱 개수 팝업 정상 표시</t>
  </si>
  <si>
    <t>상대 몬스터 카드가 파괴되어 묘지 이동, 상대 몬스터의 공격력 차이 만큼 상대 체력 감소, 
"상대 몬스터의 공격력을 넘은 만큼만 상대의 LP에 데미지를 줍니다" 텍스트 표시</t>
  </si>
  <si>
    <t>메인 필드의 카드가 앞면 표시로 세트되어 있을 경우</t>
  </si>
  <si>
    <t>사용자가 설정한 캐릭터 포트레이트 이미지 정상 표시</t>
  </si>
  <si>
    <t>랭크 듀얼 사용 중인 덱에 사용자의 랭크 듀얼 티어 표시</t>
  </si>
  <si>
    <t>매칭된 상대 사용자가 설정한 메이트의 특수 동작 표시</t>
  </si>
  <si>
    <t>사용자가 설정한 캐릭터 포트레이트 테두리 정상적으로 노출</t>
  </si>
  <si>
    <t>덱 대표카드 버튼이 꺼져있고
사용자가 덱을 탭 했을 경우</t>
  </si>
  <si>
    <t>매칭된 상대 사용자의 현재 엑스트라 덱 개수 팝업 표시</t>
  </si>
  <si>
    <t>페이즈 버튼에 Standby 페이즈 이미지 정상 표시</t>
  </si>
  <si>
    <t>전체 경험치 에서 현재 경험치를 채운 게이지 형태로 표시</t>
  </si>
  <si>
    <t>하단 필드 제외존에 노란색, 파란색 테두리 정상 표시</t>
  </si>
  <si>
    <t>매칭된 상대 사용자의 현재 메인 덱 개수 팝업 표시</t>
  </si>
  <si>
    <t>사용자가 설정한 캐릭터 포트레이트 이미지 정상적으로 노출</t>
  </si>
  <si>
    <t>현재 상세 정보 보기 중인 덱의 덱 이름 정상 표시</t>
  </si>
  <si>
    <t>페이즈 버튼에 Main 2 페이즈 이미지 정상 표시</t>
  </si>
  <si>
    <t>하단 필드 제외존에 노란색, 파란색 테두리 반씩 표시</t>
  </si>
  <si>
    <t>현재 상세 정보 보기 중인 덱에 장착된 카드 이미지 표시</t>
  </si>
  <si>
    <t>하단 필드 제외존에 있는 카드가 효과 발동 가능한 경우</t>
  </si>
  <si>
    <t>사용자가 설정한 하단 필드 파츠의 묘지 이미지 비활성화</t>
  </si>
  <si>
    <t>현재 생성된 덱 개수와 덱 최대치를 n/n 형식으로 표시</t>
  </si>
  <si>
    <t>탭한 상단 메인 필드의 카드 정보 팝업 정상 미표시</t>
  </si>
  <si>
    <t>페이즈 버튼에 Main 1 페이즈 이미지 정상 표시</t>
  </si>
  <si>
    <t>페이즈 버튼에 Battle 페이즈 이미지 정상 표시</t>
  </si>
  <si>
    <t>사용자가 설정한 하단 필드 파츠의 제외존 이미지 비활성화</t>
  </si>
  <si>
    <t>링크 소환의 소재가 된 카드가 묘지로 이동하는지 확인</t>
  </si>
  <si>
    <t>우측 프로필과 SNB 버튼 팝업창 좌측으로 정상 이동</t>
  </si>
  <si>
    <t>사용자가 효과 발동 가능한 카드 노란색 테두리 표시</t>
  </si>
  <si>
    <t>현재 상세 정보 보기 중인 덱의 레귤레이션 설정 표시</t>
  </si>
  <si>
    <t>탭한 상단 마법&amp;함 필드정의 카드 정보 팝업 정상 표시</t>
  </si>
  <si>
    <t>하단 필드 묘지에 있는 카드가 효과 발동 가능한 경우</t>
  </si>
  <si>
    <t>탭한 상단 마법&amp;함정 필드의 카드 정보 팝업 정상 미표시</t>
  </si>
  <si>
    <t>탭&amp;홀드한 상단 메인 필드의 카드 상세정보 팝업 미표시</t>
  </si>
  <si>
    <t>사용자가 설정한 캐릭터 포트레이트 테두리 정상 표시</t>
  </si>
  <si>
    <t>하단 필드 묘지에 노란색, 파란색 테두리 반씩 표시</t>
  </si>
  <si>
    <t>싱크로 소환의 소재가 된 카드가 묘지로 이동하는지 확인</t>
  </si>
  <si>
    <t>탭한 하단 마법&amp;함정 필드의 카드 정보 팝업 정상 표시</t>
  </si>
  <si>
    <t>상대 LP가 직접 공격 선언한 카드보다 낮거나 같음</t>
  </si>
  <si>
    <t>매칭된 상대 사용자가 설정한 메이트 3D 모델 정상 표시</t>
  </si>
  <si>
    <t>탭한 상단 마법&amp;함정 필드의 카드 정보 팝업 미표시</t>
  </si>
  <si>
    <t>매칭된 상대 사용자의 현재 엑스트라 덱이 0장일 경우</t>
  </si>
  <si>
    <t>현재 상세 정보 보기 중인 덱 리스트를 드래그&amp;드롭</t>
  </si>
  <si>
    <t>현재 생성된 덱 개수와 덱 최대치를 정상적으로 노출</t>
  </si>
  <si>
    <t>페이즈 선택 팝업 노출, 배틀 페이즈 버튼 강조 표시</t>
  </si>
  <si>
    <t>어드밴스 소환에 사용된 필드의 카드 묘지로 이동 확인</t>
  </si>
  <si>
    <t>"성잔에 이끌린 자" 카드를 드로우 후 카드 확대 표시</t>
  </si>
  <si>
    <t>덱에서 드로우해야 하는 카드의 효과가 적용되었을 때</t>
  </si>
  <si>
    <t>"마법 카드는 주로 자신의 턴에 사용합니다" 텍스트 표시</t>
  </si>
  <si>
    <t>상대가 "네오 버그" 카드를 일반 소환하고 턴을 종료</t>
  </si>
  <si>
    <t>사용자가 설정한 하단 필드 파츠의 제외존 이미지 활성화</t>
  </si>
  <si>
    <t>엑시즈 소환에 사용된 카드가 소환된 카드에 겹쳐짐 확인</t>
  </si>
  <si>
    <t>탭&amp;홀드한 하단 메인 필드의 카드 상세정보 팝업 표시</t>
  </si>
  <si>
    <t>페이즈 버튼이 푸른 색으로 표시되며 페이즈 조작 가능</t>
  </si>
  <si>
    <t>하단 필드 묘지에 노란색, 파란색 테두리 정상 표시</t>
  </si>
  <si>
    <t>사용자가 설정한 듀얼 필드의 특수 동작 효과 정상 표시</t>
  </si>
  <si>
    <t>현재 상세 정보 보기 중인 덱의 카드 케이스 이미지 표시</t>
  </si>
  <si>
    <t>1. 배틀 스텝으로 진입해 배틀 스텝 과정 진행
2. 데미지 계산 단계에서 사용자의 공격 표시 카드의 공격력과 상대 공격 표시 카드의 공격력 차이 만큼 상대 라이프 포인트에 전투 데미지</t>
  </si>
  <si>
    <r>
      <t xml:space="preserve">배틀
</t>
    </r>
    <r>
      <rPr>
        <b/>
        <sz val="7"/>
        <color rgb="FF000000"/>
        <rFont val="맑은 고딕"/>
        <family val="3"/>
        <charset val="129"/>
      </rPr>
      <t>(배틀 스텝* = 
공격 선언-
데미지 스텝 개시-
데미지 계산-
데미지 스텝 종료)</t>
    </r>
  </si>
  <si>
    <t>데이터 버튼 탭</t>
  </si>
  <si>
    <t>커밍 순 메세지 표시</t>
  </si>
  <si>
    <t>카드 세부 정보 표시</t>
  </si>
  <si>
    <t>기프트 상자 버튼 탭</t>
  </si>
  <si>
    <t>덱 삭제 버튼 탭</t>
  </si>
  <si>
    <t>몬스터 카드 활성화</t>
  </si>
  <si>
    <t>엔드 페이즈 버튼 탭</t>
  </si>
  <si>
    <t>Not Tested</t>
  </si>
  <si>
    <t>게임 진입 실패</t>
  </si>
  <si>
    <t>배틀 페이즈 버튼 탭</t>
  </si>
  <si>
    <t>아니오 버튼 탭</t>
  </si>
  <si>
    <t>효과 발동 버튼 탭</t>
  </si>
  <si>
    <t>일반 소환 버튼 탭</t>
  </si>
  <si>
    <t>선택한 페이즈로 이동</t>
  </si>
  <si>
    <t>"End를 선택해주세요" 텍스트 표시</t>
  </si>
  <si>
    <t>드로우 페이즈 실행, 드로우하지 않음</t>
  </si>
  <si>
    <t>랭크 듀얼에서 사용 중인 덱이 있을 경우</t>
  </si>
  <si>
    <t>덱 메뉴 팝업 &gt; 덱 상세 정보 &gt; 버튼</t>
  </si>
  <si>
    <t>턴을 진행하고 있고 드로우 페이즈일때</t>
  </si>
  <si>
    <t>팔로우 버튼에 레드닷 표시 여부 확인</t>
  </si>
  <si>
    <t>사용자가 설정한 듀얼 필드 정상 표시</t>
  </si>
  <si>
    <t>사용자가 설정한 덱 대표 카드 정상 표시</t>
  </si>
  <si>
    <t>패의 카드가 필드로 소환 가능한 경우</t>
  </si>
  <si>
    <t>"일반 소환을 선택해주세요" 텍스트 표시</t>
  </si>
  <si>
    <t>전투로 파괴된 몬스터가 묘지로 이동 확인</t>
  </si>
  <si>
    <t>일반 소환권을 아직 사용하지 않았을 경우</t>
  </si>
  <si>
    <t>진행 중인 이벤트 듀얼이 여러개 있을 경우</t>
  </si>
  <si>
    <t>이미 참여하고 있는 듀얼 룸이 있을 경우</t>
  </si>
  <si>
    <t>필드의 카드가 효과 발동 가능한 경우</t>
  </si>
  <si>
    <t>링크 소환에 사용된 카드 묘지 이동 확인</t>
  </si>
  <si>
    <t>"마법 카드를 발동해봅시다" 텍스트 표시</t>
  </si>
  <si>
    <t>"몬스터를 공격해봅시다" 텍스트 표시</t>
  </si>
  <si>
    <t>상대 플레이어에게 직접 공격 불가능 확인</t>
  </si>
  <si>
    <t>사용자가 설정한 덱의 대표 카드 정상 표시</t>
  </si>
  <si>
    <t>싱크로 소환에 사용된 카드 묘지 이동 확인</t>
  </si>
  <si>
    <t>카드 선택 상태 활성화, 상대 몬스터 공격</t>
  </si>
  <si>
    <t>융합 소환에 사용된 카드 묘지 이동 확인</t>
  </si>
  <si>
    <t>클리어 조건 미달성 미션 정상적으로 표시</t>
  </si>
  <si>
    <t>더 이상 드로우 할 수 없을 때 게임 패배</t>
  </si>
  <si>
    <t>패의 카드가 필드로 세트 가능한 경우</t>
  </si>
  <si>
    <t>실제 사용자의 팔로우 수와 동일하게 표시</t>
  </si>
  <si>
    <t>사용자 라이프 포인트에 전투 데미지 적용</t>
  </si>
  <si>
    <t>솔로 모드 버튼에 레드닷 표시가 있는 상태</t>
  </si>
  <si>
    <t>좌측 사용자의 닉네임이 미표시 상태일 때</t>
  </si>
  <si>
    <t>효과 확인 팝업이 표시되고 있지 않을 경우</t>
  </si>
  <si>
    <t>클리어 조건 미달성 미션 표시 여부 확인</t>
  </si>
  <si>
    <t>사용자의 패가 필드로 세트 가능한 경우</t>
  </si>
  <si>
    <t>효과 처리 버튼이 OFF 상태일 경우</t>
  </si>
  <si>
    <t>상단 엑스트라 덱을 탭&amp;홀드 중일 경우</t>
  </si>
  <si>
    <t>상대 플레이어에게 직접 공격 가능 확인</t>
  </si>
  <si>
    <t>사용자가 설정한 메이트 베이스 정상 표시</t>
  </si>
  <si>
    <t>우측 사용자 라이프포인트(LP) 표시</t>
  </si>
  <si>
    <t>하단 필드 묘지에 파란색 테두리 표시</t>
  </si>
  <si>
    <t>몬스터 카드를 드로우했습니다 텍스트 표시</t>
  </si>
  <si>
    <t>하단 엑스트라 덱 이미지 정상 미표시</t>
  </si>
  <si>
    <t>하단 필드 제외존에 카드가 있을 경우</t>
  </si>
  <si>
    <t>VICTORY 창 출력, 승리 방식 출력</t>
  </si>
  <si>
    <t>"마법 카드를 발동해주세요" 텍스트 표시</t>
  </si>
  <si>
    <t>효과 처리 버튼이 Auto 상태일 경우</t>
  </si>
  <si>
    <t>팔로우 버튼에 레드닷 표시가 있는 상태</t>
  </si>
  <si>
    <t>하단 필드 묘지에 노란색 테두리 정상 표시</t>
  </si>
  <si>
    <t>사용자가 설정한 덱 카드 케이스 표시</t>
  </si>
  <si>
    <t>효과 처리 버튼이 Auto 상태로 표시</t>
  </si>
  <si>
    <t>"몬스터를 일반 소환해봅시다" 텍스트 표시</t>
  </si>
  <si>
    <t>효과 확인 팝업이 표시되고 있을 경우</t>
  </si>
  <si>
    <t>상단 필드 제외존에 카드가 없을 경우</t>
  </si>
  <si>
    <t>소지 매수 표시 버튼이 기본 이미지로 표시</t>
  </si>
  <si>
    <t>소지 매수 표시 버튼이 켜져있을 경우</t>
  </si>
  <si>
    <t>기프트 상자 버튼에 레드닷 표시 여부 확인</t>
  </si>
  <si>
    <t>상단 엑스트라 덱 이미지 정상 미표시</t>
  </si>
  <si>
    <t>소지 매수 표시 버튼이 꺼져있을 경우</t>
  </si>
  <si>
    <t>하단 필드 제외존에 카드가 없을 경우</t>
  </si>
  <si>
    <t>사용자가 설정한 필드 파츠 정상 표시</t>
  </si>
  <si>
    <t>좌측 상단 듀얼 필드를 탭 했을 경우</t>
  </si>
  <si>
    <t>하단 필드 묘지에 노란색 테두리 표시</t>
  </si>
  <si>
    <t>사용자의 현재 엑스트라 덱이 0장일 경우</t>
  </si>
  <si>
    <t>우측 하단 듀얼 필드를 탭 했을 경우</t>
  </si>
  <si>
    <t>듀얼 패스 버튼에 레드닷 표시 여부 확인</t>
  </si>
  <si>
    <t>덱 대표카드, 카드 케이스 이미지 탭</t>
  </si>
  <si>
    <t>하단 필드 묘지에 파란색 테두리 정상 표시</t>
  </si>
  <si>
    <t>정상적으로 랭크 듀얼 덱 앞으로 배치</t>
  </si>
  <si>
    <t>우측 사용자의 닉네임이 미표시 상태일 때</t>
  </si>
  <si>
    <t>실제 사용자의 팔로워 수와 동일하게 표시</t>
  </si>
  <si>
    <t>실제 사용자의 닉네임과 동일하게 표시</t>
  </si>
  <si>
    <t>작은 빠른 듀얼 버튼 표시 여부 확인</t>
  </si>
  <si>
    <t>실제 사용자의 레벨 정보와 동일하게 표시</t>
  </si>
  <si>
    <t>사용자의 현재 메인 덱이 0장일 경우</t>
  </si>
  <si>
    <t>사용자가 설정한 메이트의 특수 동작 표시</t>
  </si>
  <si>
    <t>하단 필드 제외존에 파란색 테두리 표시</t>
  </si>
  <si>
    <t>페이즈 버튼에 Draw 페이즈 이미지 표시</t>
  </si>
  <si>
    <t>랭크 듀얼 사용 중인 덱을 앞으로 배치</t>
  </si>
  <si>
    <t>슬라이더가 5초마다 넘어가는지 여부 확인</t>
  </si>
  <si>
    <t>매칭된 상대 사용자의 현재 체력 정상 표시</t>
  </si>
  <si>
    <t>페이즈 버튼에 End 페이즈 이미지 표시</t>
  </si>
  <si>
    <t>정상적으로 이벤트 덱 제일 앞으로 배치</t>
  </si>
  <si>
    <t>좌측 사용자 라이프포인트(LP) 표시</t>
  </si>
  <si>
    <t>효과 처리 버튼이 OFF 상태로 표시</t>
  </si>
  <si>
    <t>현재 생성된 이벤트 덱의 개수를 표시</t>
  </si>
  <si>
    <t>페이즈 버튼에 현재 진행 중인 턴 수 표시</t>
  </si>
  <si>
    <t>사용자가 설정한 칭호 정상적으로 노출</t>
  </si>
  <si>
    <t>사용자의 패가 필드로 소환 가능한 경우</t>
  </si>
  <si>
    <t>듀얼 룸 참가 중(호스트) 정상 노출</t>
  </si>
  <si>
    <t>덱 메뉴 팝업 &gt; 덱 상세 정보 &gt; 탑인포</t>
  </si>
  <si>
    <t>사용자가 설정한 덱 카드 케이스 정상 표시</t>
  </si>
  <si>
    <t>덱 대표카드 버튼이 녹색 활성화 상태 표시</t>
  </si>
  <si>
    <t>솔로 모드 버튼 레드닷 표시 여부 확인</t>
  </si>
  <si>
    <t>사용자가 설정한 대표 카드 정상 표시</t>
  </si>
  <si>
    <t>사용자가 생성한 각 덱의 덱 이름 표시</t>
  </si>
  <si>
    <t>게임 진입 중 상대의 연결이 끊어졌을 때</t>
  </si>
  <si>
    <t>게임 진입 중 인터넷 연결이 끊어졌을 때</t>
  </si>
  <si>
    <t>하단 필드 제외존에 노란색 테두리 표시</t>
  </si>
  <si>
    <t>듀얼 패스 버튼에 레드닷 표시가 있는 상태</t>
  </si>
  <si>
    <t>정보 버튼에 레드닷 표시가 있는 상태</t>
  </si>
  <si>
    <t>루키&amp;컴백 상호 팔로우 캠페인 팝업 노출</t>
  </si>
  <si>
    <t>덱 대표카드 버튼이 기본 이미지로 표시</t>
  </si>
  <si>
    <t>상단 필드 제외존에 카드가 있을 경우</t>
  </si>
  <si>
    <t>사용자가 설정한 덱 레귤레이션 설정 표시</t>
  </si>
  <si>
    <t>듀얼 라이브 버튼에 레드닷 표시 여부 확인</t>
  </si>
  <si>
    <t>신규, 복귀 유저 이벤트를 
노출하고 있는 상태</t>
  </si>
  <si>
    <t>실제 사용자의 MD 검정 등급과 동일하게 표시</t>
  </si>
  <si>
    <t>사용자가 설정한 메이트의 특수 동작 정상 표시</t>
  </si>
  <si>
    <t>우측 사용자의 닉네임이 표시되고 3초가 지났을 때</t>
  </si>
  <si>
    <t>사용자가 설정한 메이트 3D 모델 정상적으로 노출</t>
  </si>
  <si>
    <t>사용자가 설정한 벽지 이미지 정상적으로 노출</t>
  </si>
  <si>
    <t>하단 필드 묘지에 있는 카드가 소환 가능한 경우</t>
  </si>
  <si>
    <t>사용자가 설정한 덱 레귤레이션 설정 정상 표시</t>
  </si>
  <si>
    <t>좌측 사용자의 닉네임이 표시되고 3초가 지났을 때</t>
  </si>
  <si>
    <t>현재 상세 정보 보기 중인 덱의 덱 이름 표시</t>
  </si>
  <si>
    <t>사용자가 생성한 각 덱의 카드 케이스 이미지 표시</t>
  </si>
  <si>
    <t>빠른 듀얼 버튼 이벤트 듀얼 표시 여부 확인</t>
  </si>
  <si>
    <t>기프트 상자 버튼에 레드닷 표시가 있는 상태</t>
  </si>
  <si>
    <t>페이즈 버튼에 Standby 페이즈 이미지 표시</t>
  </si>
  <si>
    <t>덱 메뉴 팝업 &gt; 덱 상세 정보 &gt; 덱 리스트</t>
  </si>
  <si>
    <t>실제 사용자가 보유하고 있는 젬이 정상적으로 표시</t>
  </si>
  <si>
    <t>사용자가 설정한 듀얼 필드의 특수 동작 효과 표시</t>
  </si>
  <si>
    <t>실제 사용자의 랭크 듀얼 티어와 동일하게 표시</t>
  </si>
  <si>
    <t>듀얼 라이브 버튼에 레드닷 표시가 있는 상태</t>
  </si>
  <si>
    <t>사용자가 생성한 각 덱의 덱 대표 카드 표시</t>
  </si>
  <si>
    <t>사용자가 설정한 메이트 이미지 정상적으로 노출</t>
  </si>
  <si>
    <t>탭한 하단 메인 필드의 카드 정보 팝업 정상 표시</t>
  </si>
  <si>
    <t>실제 사용자의 계정 ID 정보와 동일하게 표시</t>
  </si>
  <si>
    <t>하단 필드 제외존에 파란색 테두리 정상 표시</t>
  </si>
  <si>
    <t>슬라이더 신규, 복귀 유저 이벤트 이미지 탭</t>
  </si>
  <si>
    <t>페이즈 버튼에 End 페이즈 이미지 정상 표시</t>
  </si>
  <si>
    <t>사용자가 화면 조작을 
3초 이상 하지 않은 상태</t>
  </si>
  <si>
    <t>우측 프로필과 SNB 버튼 원래 위치로 정상 이동</t>
  </si>
  <si>
    <t>현재 생성된 이벤트 덱의 개수를 정상적으로 노출</t>
  </si>
  <si>
    <t>매칭된 상대 사용자가 설정한 듀얼 필드 정상 표시</t>
  </si>
  <si>
    <t>탭한 상단 마법&amp;함정 필드의 카드 정보 팝업 표시</t>
  </si>
  <si>
    <t>듀얼 상세 정보 버튼이 탭&amp;홀드 상태일 경우</t>
  </si>
  <si>
    <t>페이즈 버튼에 Main 1 페이즈 이미지 표시</t>
  </si>
  <si>
    <t>하단 필드 제외존에 있는 카드가 소환 가능한 경우</t>
  </si>
  <si>
    <t>패의 4레벨 이하 몬스터 카드 소환 가능 확인</t>
  </si>
  <si>
    <t>사용자의 현재 패 개수만큼 패 개수 정상 표시</t>
  </si>
  <si>
    <t>매칭된 상대 사용자의 현재 메인 덱이 0장일 경우</t>
  </si>
  <si>
    <t>필드 선택 상태 종료, 카드 선택 상태 활성화</t>
  </si>
  <si>
    <t>탭한 상단 메인 필드의 카드 정보 팝업 표시</t>
  </si>
  <si>
    <t>융합 소환의 소재된 카드가 묘지로 이동하는지 확인</t>
  </si>
  <si>
    <t>페이즈 버튼에 현재 진행 중인 턴 수 정상 표시</t>
  </si>
  <si>
    <t>우측 프로필과 SNB 버튼 원래 위치로 이동</t>
  </si>
  <si>
    <t>하단 필드 제외존에 노란색 테두리 정상 표시</t>
  </si>
  <si>
    <t>효과 발동 가능한 카드 노란색 테두리 정상 표시</t>
  </si>
  <si>
    <t>탭한 상단 메인 필드의 카드 정보 팝업 미표시</t>
  </si>
  <si>
    <t>드로우를 시행해야 할 때 덱의 카드가 0장일 경우</t>
  </si>
  <si>
    <t>탭한 하단 마법&amp;함정 필드의 카드 정보 팝업 표시</t>
  </si>
  <si>
    <t>사용자가 설정한 덱 프로텍터 이미지 정상 표시</t>
  </si>
  <si>
    <t>탭한 하단 메인 필드의 카드 정보 팝업 표시</t>
  </si>
  <si>
    <t>페이즈 버튼에 Battle 페이즈 이미지 표시</t>
  </si>
  <si>
    <t>매칭된 상대 사용자가 설정한 필드 파츠 정상 표시</t>
  </si>
  <si>
    <t>드로우 페이즈는 실행하지만 카드는 드로우하지 않음</t>
  </si>
  <si>
    <t>소지 매수 표시 버튼이 녹색 활성화 상태 표시</t>
  </si>
  <si>
    <t>사용자가 설정한 메이트 3D 모델 정상 표시</t>
  </si>
  <si>
    <t>탭한 상단 메인 필드의 카드 정보 팝업 정상 표시</t>
  </si>
  <si>
    <t>매칭된 상대 사용자가 설정한 닉네임 정상 표시</t>
  </si>
  <si>
    <t>사용자가 설정한 메이트 특수 동작 정상적으로 노출</t>
  </si>
  <si>
    <t>페이즈 버튼에 Main 2 페이즈 이미지 표시</t>
  </si>
  <si>
    <t>전투로 파괴된 몬스터가 묘지로 이동하는지 확인</t>
  </si>
  <si>
    <t>"대지 분쇄" 카드를 드로우 후 카드 확대 표시</t>
  </si>
  <si>
    <t>"마법 카드를 드로우 했습니다" 텍스트 표시</t>
  </si>
  <si>
    <t>배틀 페이즈로 이동 예/아니오 확인 팝업 닫음</t>
  </si>
  <si>
    <t>마법 카드 선택 상태 활성화, 카드 정보 표시</t>
  </si>
  <si>
    <t>몬스터 카드 선택 상태 활성화, 카드 정보 표시</t>
  </si>
  <si>
    <t>게임 진입 실패와 인터넷 연결 문제 메세지 출력</t>
  </si>
  <si>
    <t>배틀 페이즈로 이동 예/아니오 확인 팝업 출력</t>
  </si>
  <si>
    <t>페이즈 버튼에 Draw 페이즈 이미지 정상 표시</t>
  </si>
  <si>
    <t>우측 프로필과 SNB 버튼 팝업창 좌측으로 이동</t>
  </si>
  <si>
    <t>듀얼 패스로 이동</t>
  </si>
  <si>
    <t>액세서리 변경 탭</t>
  </si>
  <si>
    <t>마이 덱으로 이동</t>
  </si>
  <si>
    <t>메이트 이미지 탭</t>
  </si>
  <si>
    <t>시즌 포인트 버튼 탭</t>
  </si>
  <si>
    <t>상단 패 개수 표시</t>
  </si>
  <si>
    <t>덱 메뉴 팝업 노출</t>
  </si>
  <si>
    <t>팀전 팝업 노출</t>
  </si>
  <si>
    <t>하단 패 개수 표시</t>
  </si>
  <si>
    <t>솔로 모드 버튼 탭</t>
  </si>
  <si>
    <t>프리 매치 이동</t>
  </si>
  <si>
    <t>효과 처리 버튼 탭</t>
  </si>
  <si>
    <t>듀얼 메뉴 버튼 탭</t>
  </si>
  <si>
    <t>메이트 설정 이동</t>
  </si>
  <si>
    <t>마법 카드 드래그</t>
  </si>
  <si>
    <t>기타 정보 팝업 노출</t>
  </si>
  <si>
    <t>듀얼 라이브 버튼 탭</t>
  </si>
  <si>
    <t>사용자의 닉네임 확인</t>
  </si>
  <si>
    <t>사용자의 메이트 탭</t>
  </si>
  <si>
    <t>듀얼 룸 버튼 탭</t>
  </si>
  <si>
    <t>페이즈 버튼 활성화</t>
  </si>
  <si>
    <t>코인 이미지 탭</t>
  </si>
  <si>
    <t>필드 파츠 이미지 탭</t>
  </si>
  <si>
    <t>효과 확인 버튼 탭</t>
  </si>
  <si>
    <t>이벤트 듀얼 이동</t>
  </si>
  <si>
    <t>듀얼 라이브로 이동</t>
  </si>
  <si>
    <t>랭크 듀얼 버튼 탭</t>
  </si>
  <si>
    <t>재시도 버튼 탭</t>
  </si>
  <si>
    <t>덱 카피 버튼 탭</t>
  </si>
  <si>
    <t>빠른 듀얼 버튼 보임</t>
  </si>
  <si>
    <t>솔로 모드로 이동</t>
  </si>
  <si>
    <t>덱 카피 팝업 표시</t>
  </si>
  <si>
    <t>리플레이 버튼 탭</t>
  </si>
  <si>
    <t>듀얼 로그 버튼 탭</t>
  </si>
  <si>
    <t>상단 필드 파츠 표시</t>
  </si>
  <si>
    <t>게임 설정 팝업 표시</t>
  </si>
  <si>
    <t>빠른 듀얼 버튼 숨김</t>
  </si>
  <si>
    <t>벽지 이미지 표시</t>
  </si>
  <si>
    <t>배틀 페이즈 이동</t>
  </si>
  <si>
    <t>플레이어명 설정 이동</t>
  </si>
  <si>
    <t>이벤트 듀얼 버튼 탭</t>
  </si>
  <si>
    <t>프리 매치 버튼 탭</t>
  </si>
  <si>
    <t>덱 추가 버튼 탭</t>
  </si>
  <si>
    <t>MD 검정 이동</t>
  </si>
  <si>
    <t>이벤트 듀얼 표시</t>
  </si>
  <si>
    <t>이전 화면 이동</t>
  </si>
  <si>
    <t>몬스터 카드 드래그</t>
  </si>
  <si>
    <t>덱 삭제 모드로 진입</t>
  </si>
  <si>
    <t>빠른 듀얼 버튼 탭</t>
  </si>
  <si>
    <t>룸 매치 팝업 노출</t>
  </si>
  <si>
    <t>프로필 편집 이동</t>
  </si>
  <si>
    <t>1. 배틀 스텝으로 진입해 배틀 스텝 과정 진행
2. 데미지 계산 단계에서 사용자 공격 표시 카드 파괴, 
사용자의 공격 표시 카드의 공격력과 상대 공격 표시 카드의 공격력 차이 만큼 사용자 라이프 포인트에 전투 데미지</t>
  </si>
  <si>
    <t>QA Test Dashboard</t>
    <phoneticPr fontId="6" type="noConversion"/>
  </si>
  <si>
    <t>Pass</t>
    <phoneticPr fontId="6" type="noConversion"/>
  </si>
  <si>
    <t>% of Test Cases Pass</t>
    <phoneticPr fontId="6" type="noConversion"/>
  </si>
  <si>
    <t>% of Test Cases Fail</t>
    <phoneticPr fontId="6" type="noConversion"/>
  </si>
  <si>
    <t>SNB</t>
    <phoneticPr fontId="6" type="noConversion"/>
  </si>
  <si>
    <t>Not Tested</t>
    <phoneticPr fontId="6" type="noConversion"/>
  </si>
  <si>
    <t>김가이</t>
    <phoneticPr fontId="6" type="noConversion"/>
  </si>
  <si>
    <t>2025.10.19</t>
  </si>
  <si>
    <t>2025.10.19</t>
    <phoneticPr fontId="6" type="noConversion"/>
  </si>
  <si>
    <t>2025.10.20</t>
  </si>
  <si>
    <t>2025.10.20</t>
    <phoneticPr fontId="6" type="noConversion"/>
  </si>
  <si>
    <t>2025.10.16</t>
    <phoneticPr fontId="6" type="noConversion"/>
  </si>
  <si>
    <t>2025.10.17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</si>
</sst>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rgb="FF000000"/>
      <name val="맑은 고딕"/>
    </font>
    <font>
      <sz val="9"/>
      <color rgb="FF000000"/>
      <name val="맑은 고딕"/>
      <family val="3"/>
      <charset val="129"/>
    </font>
    <font>
      <b/>
      <sz val="9"/>
      <color rgb="FF000000"/>
      <name val="맑은 고딕"/>
      <family val="3"/>
      <charset val="129"/>
    </font>
    <font>
      <b/>
      <sz val="9"/>
      <color rgb="FFFFFFFF"/>
      <name val="맑은 고딕"/>
      <family val="3"/>
      <charset val="129"/>
    </font>
    <font>
      <b/>
      <sz val="11"/>
      <color rgb="FF000000"/>
      <name val="맑은 고딕"/>
      <family val="3"/>
      <charset val="129"/>
    </font>
    <font>
      <b/>
      <sz val="7"/>
      <color rgb="FF000000"/>
      <name val="맑은 고딕"/>
      <family val="3"/>
      <charset val="129"/>
    </font>
    <font>
      <sz val="8"/>
      <name val="돋움"/>
      <family val="3"/>
      <charset val="129"/>
    </font>
    <font>
      <b/>
      <sz val="16"/>
      <color rgb="FFFFFFFF"/>
      <name val="맑은 고딕"/>
      <family val="3"/>
      <charset val="129"/>
    </font>
    <font>
      <sz val="11"/>
      <color theme="0"/>
      <name val="맑은 고딕"/>
      <family val="3"/>
      <charset val="129"/>
    </font>
    <font>
      <b/>
      <sz val="16"/>
      <color theme="0"/>
      <name val="맑은 고딕"/>
      <family val="3"/>
      <charset val="129"/>
    </font>
    <font>
      <sz val="11"/>
      <color rgb="FFFFFFFF"/>
      <name val="맑은 고딕"/>
      <family val="3"/>
      <charset val="129"/>
    </font>
  </fonts>
  <fills count="6">
    <fill>
      <patternFill patternType="none"/>
    </fill>
    <fill>
      <patternFill patternType="gray125"/>
    </fill>
    <fill>
      <patternFill patternType="solid">
        <fgColor rgb="FF404040"/>
        <bgColor indexed="64"/>
      </patternFill>
    </fill>
    <fill>
      <patternFill patternType="solid">
        <fgColor theme="1" tint="0.249977111117893"/>
        <bgColor indexed="64"/>
      </patternFill>
    </fill>
    <fill>
      <patternFill patternType="solid">
        <fgColor theme="4"/>
        <bgColor indexed="64"/>
      </patternFill>
    </fill>
    <fill>
      <patternFill patternType="solid">
        <fgColor theme="5"/>
        <bgColor indexed="64"/>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top style="thin">
        <color theme="0" tint="-0.14999847407452621"/>
      </top>
      <bottom/>
      <diagonal/>
    </border>
  </borders>
  <cellStyleXfs count="1">
    <xf numFmtId="0" fontId="0" fillId="0" borderId="0">
      <alignment vertical="center"/>
    </xf>
  </cellStyleXfs>
  <cellXfs count="27">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9" fontId="0" fillId="0" borderId="0" xfId="0" applyNumberFormat="1">
      <alignment vertical="center"/>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10" fillId="0" borderId="0" xfId="0" applyFont="1" applyAlignment="1">
      <alignment vertical="center" wrapText="1"/>
    </xf>
    <xf numFmtId="0" fontId="10" fillId="0" borderId="0" xfId="0" applyFont="1">
      <alignment vertical="center"/>
    </xf>
    <xf numFmtId="9" fontId="10" fillId="0" borderId="0" xfId="0" applyNumberFormat="1" applyFont="1" applyAlignment="1">
      <alignment vertical="center" wrapText="1"/>
    </xf>
    <xf numFmtId="9" fontId="10" fillId="0" borderId="0" xfId="0" applyNumberFormat="1" applyFont="1">
      <alignment vertical="center"/>
    </xf>
    <xf numFmtId="0" fontId="8" fillId="3" borderId="0" xfId="0" applyFont="1" applyFill="1" applyAlignment="1">
      <alignment horizontal="center" vertical="center"/>
    </xf>
    <xf numFmtId="0" fontId="7"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9" fontId="9" fillId="4" borderId="3" xfId="0" applyNumberFormat="1" applyFont="1" applyFill="1" applyBorder="1" applyAlignment="1">
      <alignment horizontal="center" vertical="center"/>
    </xf>
    <xf numFmtId="9" fontId="9" fillId="4" borderId="0" xfId="0" applyNumberFormat="1" applyFont="1" applyFill="1" applyAlignment="1">
      <alignment horizontal="center" vertical="center"/>
    </xf>
    <xf numFmtId="9" fontId="9" fillId="5" borderId="3" xfId="0" applyNumberFormat="1" applyFont="1" applyFill="1" applyBorder="1" applyAlignment="1">
      <alignment horizontal="center" vertical="center"/>
    </xf>
    <xf numFmtId="9" fontId="9" fillId="5" borderId="0" xfId="0" applyNumberFormat="1" applyFont="1" applyFill="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cellXfs>
  <cellStyles count="1">
    <cellStyle name="표준" xfId="0" builtinId="0"/>
  </cellStyles>
  <dxfs count="29">
    <dxf>
      <font>
        <b/>
        <color rgb="FFFFFFFF"/>
      </font>
      <fill>
        <patternFill>
          <bgColor rgb="FF6182D6"/>
        </patternFill>
      </fill>
    </dxf>
    <dxf>
      <font>
        <b/>
        <color rgb="FFFFFFFF"/>
      </font>
      <fill>
        <patternFill>
          <bgColor rgb="FF69D8AD"/>
        </patternFill>
      </fill>
    </dxf>
    <dxf>
      <font>
        <b/>
        <color rgb="FFFFFFFF"/>
      </font>
      <fill>
        <patternFill>
          <bgColor rgb="FF92D050"/>
        </patternFill>
      </fill>
    </dxf>
    <dxf>
      <font>
        <b/>
        <color rgb="FFFFFF00"/>
      </font>
      <fill>
        <patternFill>
          <bgColor rgb="FFFF0000"/>
        </patternFill>
      </fill>
    </dxf>
    <dxf>
      <font>
        <b/>
        <color rgb="FFFFFF00"/>
      </font>
      <fill>
        <patternFill>
          <bgColor rgb="FF595959"/>
        </patternFill>
      </fill>
    </dxf>
    <dxf>
      <font>
        <b/>
        <color rgb="FFFFFFFF"/>
      </font>
      <fill>
        <patternFill>
          <bgColor rgb="FF6182D6"/>
        </patternFill>
      </fill>
    </dxf>
    <dxf>
      <font>
        <b/>
        <color rgb="FFFFFFFF"/>
      </font>
      <fill>
        <patternFill>
          <bgColor rgb="FF69D8AD"/>
        </patternFill>
      </fill>
    </dxf>
    <dxf>
      <font>
        <b/>
        <color rgb="FFFFFFFF"/>
      </font>
      <fill>
        <patternFill>
          <bgColor rgb="FF92D050"/>
        </patternFill>
      </fill>
    </dxf>
    <dxf>
      <font>
        <b/>
        <color rgb="FFFFFF00"/>
      </font>
      <fill>
        <patternFill>
          <bgColor rgb="FFFF0000"/>
        </patternFill>
      </fill>
    </dxf>
    <dxf>
      <font>
        <b/>
        <color rgb="FFFFFF00"/>
      </font>
      <fill>
        <patternFill>
          <bgColor rgb="FF595959"/>
        </patternFill>
      </fill>
    </dxf>
    <dxf>
      <font>
        <b/>
        <color rgb="FFFFFFFF"/>
      </font>
      <fill>
        <patternFill>
          <bgColor rgb="FF6182D6"/>
        </patternFill>
      </fill>
    </dxf>
    <dxf>
      <font>
        <b/>
        <color rgb="FFFFFFFF"/>
      </font>
      <fill>
        <patternFill>
          <bgColor rgb="FF69D8AD"/>
        </patternFill>
      </fill>
    </dxf>
    <dxf>
      <font>
        <b/>
        <color rgb="FFFFFFFF"/>
      </font>
      <fill>
        <patternFill>
          <bgColor rgb="FF92D050"/>
        </patternFill>
      </fill>
    </dxf>
    <dxf>
      <font>
        <b/>
        <color rgb="FFFFFF00"/>
      </font>
      <fill>
        <patternFill>
          <bgColor rgb="FFFF0000"/>
        </patternFill>
      </fill>
    </dxf>
    <dxf>
      <font>
        <b/>
        <color rgb="FFFFFF00"/>
      </font>
      <fill>
        <patternFill>
          <bgColor rgb="FF595959"/>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Light Style 1 - Accent 1" table="0" count="7" xr9:uid="{00000000-0011-0000-FFFF-FFFF01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l">
              <a:defRPr/>
            </a:pPr>
            <a:r>
              <a:rPr lang="en-US"/>
              <a:t>Percentage of Test Cases Failed</a:t>
            </a:r>
          </a:p>
        </c:rich>
      </c:tx>
      <c:layout>
        <c:manualLayout>
          <c:xMode val="edge"/>
          <c:yMode val="edge"/>
          <c:x val="3.5931126098305996E-2"/>
          <c:y val="3.459640497832054E-2"/>
        </c:manualLayout>
      </c:layout>
      <c:overlay val="0"/>
    </c:title>
    <c:autoTitleDeleted val="0"/>
    <c:plotArea>
      <c:layout/>
      <c:lineChart>
        <c:grouping val="standard"/>
        <c:varyColors val="0"/>
        <c:ser>
          <c:idx val="0"/>
          <c:order val="0"/>
          <c:marker>
            <c:symbol val="diamond"/>
            <c:size val="7"/>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'프로젝트 진행률'!$B$51:$B$53</c:f>
              <c:strCache>
                <c:ptCount val="3"/>
                <c:pt idx="0">
                  <c:v>메인화면</c:v>
                </c:pt>
                <c:pt idx="1">
                  <c:v>튜토리얼</c:v>
                </c:pt>
                <c:pt idx="2">
                  <c:v>인게임</c:v>
                </c:pt>
              </c:strCache>
            </c:strRef>
          </c:cat>
          <c:val>
            <c:numRef>
              <c:f>'프로젝트 진행률'!$I$51:$I$53</c:f>
              <c:numCache>
                <c:formatCode>0%</c:formatCode>
                <c:ptCount val="3"/>
                <c:pt idx="0">
                  <c:v>8.7248322147651006E-2</c:v>
                </c:pt>
                <c:pt idx="1">
                  <c:v>4.0540540540540543E-2</c:v>
                </c:pt>
                <c:pt idx="2">
                  <c:v>1.4814814814814815E-2</c:v>
                </c:pt>
              </c:numCache>
            </c:numRef>
          </c:val>
          <c:smooth val="0"/>
          <c:extLst>
            <c:ext xmlns:c16="http://schemas.microsoft.com/office/drawing/2014/chart" uri="{C3380CC4-5D6E-409C-BE32-E72D297353CC}">
              <c16:uniqueId val="{00000000-3471-474E-A57D-A4E8ACE9CDF4}"/>
            </c:ext>
          </c:extLst>
        </c:ser>
        <c:dLbls>
          <c:dLblPos val="t"/>
          <c:showLegendKey val="0"/>
          <c:showVal val="1"/>
          <c:showCatName val="0"/>
          <c:showSerName val="0"/>
          <c:showPercent val="0"/>
          <c:showBubbleSize val="0"/>
        </c:dLbls>
        <c:marker val="1"/>
        <c:smooth val="0"/>
        <c:axId val="54931391"/>
        <c:axId val="611875659"/>
      </c:lineChart>
      <c:valAx>
        <c:axId val="611875659"/>
        <c:scaling>
          <c:orientation val="minMax"/>
        </c:scaling>
        <c:delete val="0"/>
        <c:axPos val="l"/>
        <c:numFmt formatCode="0%" sourceLinked="1"/>
        <c:majorTickMark val="out"/>
        <c:minorTickMark val="none"/>
        <c:tickLblPos val="nextTo"/>
        <c:crossAx val="54931391"/>
        <c:crosses val="autoZero"/>
        <c:crossBetween val="between"/>
      </c:valAx>
      <c:catAx>
        <c:axId val="54931391"/>
        <c:scaling>
          <c:orientation val="minMax"/>
        </c:scaling>
        <c:delete val="0"/>
        <c:axPos val="b"/>
        <c:numFmt formatCode="General" sourceLinked="0"/>
        <c:majorTickMark val="out"/>
        <c:minorTickMark val="none"/>
        <c:tickLblPos val="nextTo"/>
        <c:crossAx val="611875659"/>
        <c:crossesAt val="0"/>
        <c:auto val="1"/>
        <c:lblAlgn val="ctr"/>
        <c:lblOffset val="100"/>
        <c:tickMarkSkip val="1"/>
        <c:noMultiLvlLbl val="0"/>
      </c:catAx>
      <c:spPr>
        <a:noFill/>
        <a:ln w="9525" cap="flat" cmpd="sng" algn="ctr">
          <a:noFill/>
          <a:prstDash val="solid"/>
          <a:round/>
          <a:headEnd w="med" len="med"/>
          <a:tailEnd w="med" len="med"/>
        </a:ln>
      </c:spPr>
    </c:plotArea>
    <c:plotVisOnly val="0"/>
    <c:dispBlanksAs val="gap"/>
    <c:showDLblsOverMax val="1"/>
  </c:chart>
  <c:spPr>
    <a:ln>
      <a:solidFill>
        <a:schemeClr val="bg1">
          <a:lumMod val="65000"/>
        </a:schemeClr>
      </a:solidFill>
    </a:ln>
  </c:spPr>
  <c:txPr>
    <a:bodyPr rot="0" vert="horz" wrap="none" lIns="0" tIns="0" rIns="0" bIns="0" anchor="ctr" anchorCtr="1"/>
    <a:lstStyle/>
    <a:p>
      <a:pPr algn="l">
        <a:defRPr sz="1000" b="0" i="0" u="none">
          <a:latin typeface="+mn-ea"/>
          <a:ea typeface="+mn-ea"/>
          <a:cs typeface="맑은 고딕"/>
          <a:sym typeface="맑은 고딕"/>
        </a:defRPr>
      </a:pPr>
      <a:endParaRPr lang="ko-KR"/>
    </a:p>
  </c:txPr>
  <c:printSettings>
    <c:headerFooter/>
    <c:pageMargins b="0.75" l="0.7" r="0.7" t="0.75" header="0.3" footer="0.3"/>
    <c:pageSetup/>
  </c:printSettings>
  <c:extLst>
    <c:ext uri="CC8EB2C9-7E31-499d-B8F2-F6CE61031016">
      <ho:hncChartStyle xmlns:ho="http://schemas.haansoft.com/office/8.0" layoutIndex="-1" colorIndex="0" styleIndex="0"/>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l">
              <a:defRPr/>
            </a:pPr>
            <a:r>
              <a:rPr lang="en-US"/>
              <a:t>Test Status</a:t>
            </a:r>
          </a:p>
        </c:rich>
      </c:tx>
      <c:layout>
        <c:manualLayout>
          <c:xMode val="edge"/>
          <c:yMode val="edge"/>
          <c:x val="2.4270141039567997E-2"/>
          <c:y val="3.292181069958848E-2"/>
        </c:manualLayout>
      </c:layout>
      <c:overlay val="0"/>
    </c:title>
    <c:autoTitleDeleted val="0"/>
    <c:plotArea>
      <c:layout/>
      <c:barChart>
        <c:barDir val="col"/>
        <c:grouping val="clustered"/>
        <c:varyColors val="0"/>
        <c:ser>
          <c:idx val="0"/>
          <c:order val="0"/>
          <c:tx>
            <c:strRef>
              <c:f>'프로젝트 진행률'!$C$50</c:f>
              <c:strCache>
                <c:ptCount val="1"/>
                <c:pt idx="0">
                  <c:v>Pass</c:v>
                </c:pt>
              </c:strCache>
            </c:strRef>
          </c:tx>
          <c:invertIfNegative val="0"/>
          <c:cat>
            <c:strRef>
              <c:f>'프로젝트 진행률'!$B$51:$B$53</c:f>
              <c:strCache>
                <c:ptCount val="3"/>
                <c:pt idx="0">
                  <c:v>메인화면</c:v>
                </c:pt>
                <c:pt idx="1">
                  <c:v>튜토리얼</c:v>
                </c:pt>
                <c:pt idx="2">
                  <c:v>인게임</c:v>
                </c:pt>
              </c:strCache>
            </c:strRef>
          </c:cat>
          <c:val>
            <c:numRef>
              <c:f>'프로젝트 진행률'!$C$51:$C$53</c:f>
              <c:numCache>
                <c:formatCode>General</c:formatCode>
                <c:ptCount val="3"/>
                <c:pt idx="0">
                  <c:v>136</c:v>
                </c:pt>
                <c:pt idx="1">
                  <c:v>71</c:v>
                </c:pt>
                <c:pt idx="2">
                  <c:v>127</c:v>
                </c:pt>
              </c:numCache>
            </c:numRef>
          </c:val>
          <c:extLst>
            <c:ext xmlns:c16="http://schemas.microsoft.com/office/drawing/2014/chart" uri="{C3380CC4-5D6E-409C-BE32-E72D297353CC}">
              <c16:uniqueId val="{00000000-EA90-43D7-97CE-405CDAEA2336}"/>
            </c:ext>
          </c:extLst>
        </c:ser>
        <c:ser>
          <c:idx val="1"/>
          <c:order val="1"/>
          <c:tx>
            <c:strRef>
              <c:f>'프로젝트 진행률'!$D$50</c:f>
              <c:strCache>
                <c:ptCount val="1"/>
                <c:pt idx="0">
                  <c:v>Fail</c:v>
                </c:pt>
              </c:strCache>
            </c:strRef>
          </c:tx>
          <c:invertIfNegative val="0"/>
          <c:cat>
            <c:strRef>
              <c:f>'프로젝트 진행률'!$B$51:$B$53</c:f>
              <c:strCache>
                <c:ptCount val="3"/>
                <c:pt idx="0">
                  <c:v>메인화면</c:v>
                </c:pt>
                <c:pt idx="1">
                  <c:v>튜토리얼</c:v>
                </c:pt>
                <c:pt idx="2">
                  <c:v>인게임</c:v>
                </c:pt>
              </c:strCache>
            </c:strRef>
          </c:cat>
          <c:val>
            <c:numRef>
              <c:f>'프로젝트 진행률'!$D$51:$D$53</c:f>
              <c:numCache>
                <c:formatCode>General</c:formatCode>
                <c:ptCount val="3"/>
                <c:pt idx="0">
                  <c:v>13</c:v>
                </c:pt>
                <c:pt idx="1">
                  <c:v>3</c:v>
                </c:pt>
                <c:pt idx="2">
                  <c:v>2</c:v>
                </c:pt>
              </c:numCache>
            </c:numRef>
          </c:val>
          <c:extLst>
            <c:ext xmlns:c16="http://schemas.microsoft.com/office/drawing/2014/chart" uri="{C3380CC4-5D6E-409C-BE32-E72D297353CC}">
              <c16:uniqueId val="{00000001-EA90-43D7-97CE-405CDAEA2336}"/>
            </c:ext>
          </c:extLst>
        </c:ser>
        <c:ser>
          <c:idx val="2"/>
          <c:order val="2"/>
          <c:tx>
            <c:strRef>
              <c:f>'프로젝트 진행률'!$E$50</c:f>
              <c:strCache>
                <c:ptCount val="1"/>
                <c:pt idx="0">
                  <c:v>Blocked</c:v>
                </c:pt>
              </c:strCache>
            </c:strRef>
          </c:tx>
          <c:invertIfNegative val="0"/>
          <c:cat>
            <c:strRef>
              <c:f>'프로젝트 진행률'!$B$51:$B$53</c:f>
              <c:strCache>
                <c:ptCount val="3"/>
                <c:pt idx="0">
                  <c:v>메인화면</c:v>
                </c:pt>
                <c:pt idx="1">
                  <c:v>튜토리얼</c:v>
                </c:pt>
                <c:pt idx="2">
                  <c:v>인게임</c:v>
                </c:pt>
              </c:strCache>
            </c:strRef>
          </c:cat>
          <c:val>
            <c:numRef>
              <c:f>'프로젝트 진행률'!$E$51:$E$53</c:f>
              <c:numCache>
                <c:formatCode>General</c:formatCode>
                <c:ptCount val="3"/>
                <c:pt idx="0">
                  <c:v>0</c:v>
                </c:pt>
                <c:pt idx="1">
                  <c:v>0</c:v>
                </c:pt>
                <c:pt idx="2">
                  <c:v>0</c:v>
                </c:pt>
              </c:numCache>
            </c:numRef>
          </c:val>
          <c:extLst>
            <c:ext xmlns:c16="http://schemas.microsoft.com/office/drawing/2014/chart" uri="{C3380CC4-5D6E-409C-BE32-E72D297353CC}">
              <c16:uniqueId val="{00000002-EA90-43D7-97CE-405CDAEA2336}"/>
            </c:ext>
          </c:extLst>
        </c:ser>
        <c:ser>
          <c:idx val="3"/>
          <c:order val="3"/>
          <c:tx>
            <c:strRef>
              <c:f>'프로젝트 진행률'!$F$50</c:f>
              <c:strCache>
                <c:ptCount val="1"/>
                <c:pt idx="0">
                  <c:v>Not Tested</c:v>
                </c:pt>
              </c:strCache>
            </c:strRef>
          </c:tx>
          <c:invertIfNegative val="0"/>
          <c:cat>
            <c:strRef>
              <c:f>'프로젝트 진행률'!$B$51:$B$53</c:f>
              <c:strCache>
                <c:ptCount val="3"/>
                <c:pt idx="0">
                  <c:v>메인화면</c:v>
                </c:pt>
                <c:pt idx="1">
                  <c:v>튜토리얼</c:v>
                </c:pt>
                <c:pt idx="2">
                  <c:v>인게임</c:v>
                </c:pt>
              </c:strCache>
            </c:strRef>
          </c:cat>
          <c:val>
            <c:numRef>
              <c:f>'프로젝트 진행률'!$F$51:$F$53</c:f>
              <c:numCache>
                <c:formatCode>General</c:formatCode>
                <c:ptCount val="3"/>
                <c:pt idx="0">
                  <c:v>0</c:v>
                </c:pt>
                <c:pt idx="1">
                  <c:v>0</c:v>
                </c:pt>
                <c:pt idx="2">
                  <c:v>6</c:v>
                </c:pt>
              </c:numCache>
            </c:numRef>
          </c:val>
          <c:extLst>
            <c:ext xmlns:c16="http://schemas.microsoft.com/office/drawing/2014/chart" uri="{C3380CC4-5D6E-409C-BE32-E72D297353CC}">
              <c16:uniqueId val="{00000003-EA90-43D7-97CE-405CDAEA2336}"/>
            </c:ext>
          </c:extLst>
        </c:ser>
        <c:dLbls>
          <c:showLegendKey val="0"/>
          <c:showVal val="0"/>
          <c:showCatName val="0"/>
          <c:showSerName val="0"/>
          <c:showPercent val="0"/>
          <c:showBubbleSize val="0"/>
        </c:dLbls>
        <c:gapWidth val="150"/>
        <c:axId val="33936596"/>
        <c:axId val="364314616"/>
      </c:barChart>
      <c:catAx>
        <c:axId val="33936596"/>
        <c:scaling>
          <c:orientation val="minMax"/>
        </c:scaling>
        <c:delete val="0"/>
        <c:axPos val="b"/>
        <c:numFmt formatCode="General" sourceLinked="0"/>
        <c:majorTickMark val="out"/>
        <c:minorTickMark val="none"/>
        <c:tickLblPos val="nextTo"/>
        <c:crossAx val="364314616"/>
        <c:crosses val="autoZero"/>
        <c:auto val="1"/>
        <c:lblAlgn val="ctr"/>
        <c:lblOffset val="100"/>
        <c:tickMarkSkip val="1"/>
        <c:noMultiLvlLbl val="0"/>
      </c:catAx>
      <c:valAx>
        <c:axId val="364314616"/>
        <c:scaling>
          <c:orientation val="minMax"/>
        </c:scaling>
        <c:delete val="0"/>
        <c:axPos val="l"/>
        <c:numFmt formatCode="General" sourceLinked="1"/>
        <c:majorTickMark val="out"/>
        <c:minorTickMark val="none"/>
        <c:tickLblPos val="nextTo"/>
        <c:crossAx val="33936596"/>
        <c:crosses val="autoZero"/>
        <c:crossBetween val="between"/>
      </c:valAx>
      <c:spPr>
        <a:noFill/>
        <a:ln w="9525" cap="flat" cmpd="sng" algn="ctr">
          <a:noFill/>
          <a:prstDash val="solid"/>
          <a:round/>
          <a:headEnd w="med" len="med"/>
          <a:tailEnd w="med" len="med"/>
        </a:ln>
      </c:spPr>
    </c:plotArea>
    <c:legend>
      <c:legendPos val="r"/>
      <c:overlay val="0"/>
    </c:legend>
    <c:plotVisOnly val="0"/>
    <c:dispBlanksAs val="gap"/>
    <c:showDLblsOverMax val="1"/>
  </c:chart>
  <c:spPr>
    <a:ln>
      <a:solidFill>
        <a:schemeClr val="bg1">
          <a:lumMod val="65000"/>
        </a:schemeClr>
      </a:solidFill>
    </a:ln>
  </c:spPr>
  <c:txPr>
    <a:bodyPr rot="0" vert="horz" wrap="none" lIns="0" tIns="0" rIns="0" bIns="0" anchor="ctr" anchorCtr="1"/>
    <a:lstStyle/>
    <a:p>
      <a:pPr algn="l">
        <a:defRPr sz="1000" b="0" i="0" u="none">
          <a:latin typeface="+mn-ea"/>
          <a:ea typeface="+mn-ea"/>
          <a:cs typeface="맑은 고딕"/>
          <a:sym typeface="맑은 고딕"/>
        </a:defRPr>
      </a:pPr>
      <a:endParaRPr lang="ko-KR"/>
    </a:p>
  </c:txPr>
  <c:printSettings>
    <c:headerFooter/>
    <c:pageMargins b="0.75" l="0.7" r="0.7" t="0.75" header="0.3" footer="0.3"/>
    <c:pageSetup/>
  </c:printSettings>
  <c:extLst>
    <c:ext uri="CC8EB2C9-7E31-499d-B8F2-F6CE61031016">
      <ho:hncChartStyle xmlns:ho="http://schemas.haansoft.com/office/8.0" layoutIndex="-1" colorIndex="0" styleIndex="0"/>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114298</xdr:colOff>
      <xdr:row>6</xdr:row>
      <xdr:rowOff>209549</xdr:rowOff>
    </xdr:from>
    <xdr:to>
      <xdr:col>13</xdr:col>
      <xdr:colOff>685799</xdr:colOff>
      <xdr:row>20</xdr:row>
      <xdr:rowOff>1</xdr:rowOff>
    </xdr:to>
    <xdr:graphicFrame macro="">
      <xdr:nvGraphicFramePr>
        <xdr:cNvPr id="7" name="차트 7">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14</xdr:col>
      <xdr:colOff>0</xdr:colOff>
      <xdr:row>34</xdr:row>
      <xdr:rowOff>19049</xdr:rowOff>
    </xdr:to>
    <xdr:graphicFrame macro="">
      <xdr:nvGraphicFramePr>
        <xdr:cNvPr id="8" name="차트 8">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54"/>
  <sheetViews>
    <sheetView showGridLines="0" tabSelected="1" view="pageBreakPreview" zoomScaleNormal="100" zoomScaleSheetLayoutView="100" workbookViewId="0">
      <selection activeCell="Q9" sqref="Q9"/>
    </sheetView>
  </sheetViews>
  <sheetFormatPr defaultColWidth="9" defaultRowHeight="16.5" x14ac:dyDescent="0.3"/>
  <cols>
    <col min="1" max="1" width="1.5" customWidth="1"/>
    <col min="2" max="7" width="9" customWidth="1"/>
    <col min="8" max="8" width="9.125" customWidth="1"/>
    <col min="14" max="14" width="9" customWidth="1"/>
    <col min="15" max="15" width="1.5" customWidth="1"/>
  </cols>
  <sheetData>
    <row r="1" spans="2:14" ht="9" customHeight="1" x14ac:dyDescent="0.3"/>
    <row r="2" spans="2:14" ht="27" customHeight="1" x14ac:dyDescent="0.3">
      <c r="B2" s="18" t="s">
        <v>787</v>
      </c>
      <c r="C2" s="19"/>
      <c r="D2" s="19"/>
      <c r="E2" s="19"/>
      <c r="F2" s="19"/>
      <c r="G2" s="19"/>
      <c r="H2" s="19"/>
      <c r="I2" s="19"/>
      <c r="J2" s="19"/>
      <c r="K2" s="19"/>
      <c r="L2" s="19"/>
      <c r="M2" s="19"/>
      <c r="N2" s="19"/>
    </row>
    <row r="4" spans="2:14" x14ac:dyDescent="0.3">
      <c r="B4" s="17" t="s">
        <v>789</v>
      </c>
      <c r="C4" s="17"/>
      <c r="D4" s="17"/>
      <c r="E4" s="17"/>
      <c r="F4" s="17"/>
      <c r="G4" s="17"/>
      <c r="I4" s="17" t="s">
        <v>790</v>
      </c>
      <c r="J4" s="17"/>
      <c r="K4" s="17"/>
      <c r="L4" s="17"/>
      <c r="M4" s="17"/>
      <c r="N4" s="17"/>
    </row>
    <row r="5" spans="2:14" x14ac:dyDescent="0.3">
      <c r="B5" s="20">
        <f>AVERAGE(H51:H53)</f>
        <v>0.93765062601751648</v>
      </c>
      <c r="C5" s="20"/>
      <c r="D5" s="20"/>
      <c r="E5" s="20"/>
      <c r="F5" s="20"/>
      <c r="G5" s="20"/>
      <c r="I5" s="22">
        <f>AVERAGE(I51:I53)</f>
        <v>4.7534559167668793E-2</v>
      </c>
      <c r="J5" s="22"/>
      <c r="K5" s="22"/>
      <c r="L5" s="22"/>
      <c r="M5" s="22"/>
      <c r="N5" s="22"/>
    </row>
    <row r="6" spans="2:14" x14ac:dyDescent="0.3">
      <c r="B6" s="21"/>
      <c r="C6" s="21"/>
      <c r="D6" s="21"/>
      <c r="E6" s="21"/>
      <c r="F6" s="21"/>
      <c r="G6" s="21"/>
      <c r="I6" s="23"/>
      <c r="J6" s="23"/>
      <c r="K6" s="23"/>
      <c r="L6" s="23"/>
      <c r="M6" s="23"/>
      <c r="N6" s="23"/>
    </row>
    <row r="23" spans="4:8" x14ac:dyDescent="0.3">
      <c r="D23" s="5"/>
      <c r="E23" s="5"/>
    </row>
    <row r="24" spans="4:8" x14ac:dyDescent="0.3">
      <c r="D24" s="6"/>
      <c r="E24" s="7"/>
      <c r="F24" s="7"/>
    </row>
    <row r="25" spans="4:8" x14ac:dyDescent="0.3">
      <c r="D25" s="6"/>
      <c r="E25" s="7"/>
      <c r="F25" s="7"/>
      <c r="H25" s="8"/>
    </row>
    <row r="26" spans="4:8" x14ac:dyDescent="0.3">
      <c r="D26" s="6"/>
      <c r="E26" s="7"/>
      <c r="F26" s="8"/>
    </row>
    <row r="31" spans="4:8" x14ac:dyDescent="0.3">
      <c r="G31" s="8"/>
    </row>
    <row r="48" spans="1:8" x14ac:dyDescent="0.3">
      <c r="A48" s="5"/>
      <c r="B48" s="5"/>
      <c r="C48" s="5"/>
      <c r="D48" s="5"/>
      <c r="E48" s="5"/>
      <c r="F48" s="5"/>
      <c r="G48" s="5"/>
      <c r="H48" s="5"/>
    </row>
    <row r="49" spans="1:9" x14ac:dyDescent="0.3">
      <c r="A49" s="6"/>
      <c r="B49" s="6"/>
      <c r="C49" s="6"/>
      <c r="D49" s="6"/>
      <c r="E49" s="6"/>
      <c r="F49" s="6"/>
      <c r="G49" s="6"/>
      <c r="H49" s="6"/>
    </row>
    <row r="50" spans="1:9" ht="33" x14ac:dyDescent="0.3">
      <c r="B50" s="13" t="s">
        <v>80</v>
      </c>
      <c r="C50" s="13" t="s">
        <v>355</v>
      </c>
      <c r="D50" s="13" t="s">
        <v>363</v>
      </c>
      <c r="E50" s="13" t="s">
        <v>353</v>
      </c>
      <c r="F50" s="13" t="s">
        <v>556</v>
      </c>
      <c r="G50" s="14" t="s">
        <v>74</v>
      </c>
      <c r="H50" s="13" t="s">
        <v>342</v>
      </c>
      <c r="I50" s="13" t="s">
        <v>332</v>
      </c>
    </row>
    <row r="51" spans="1:9" x14ac:dyDescent="0.3">
      <c r="B51" s="14" t="s">
        <v>339</v>
      </c>
      <c r="C51" s="14">
        <f>COUNTIF(TC_메인화면!H:H,"Pass")</f>
        <v>136</v>
      </c>
      <c r="D51" s="14">
        <f>COUNTIF(TC_메인화면!H:H,"Fail")</f>
        <v>13</v>
      </c>
      <c r="E51" s="14">
        <f>COUNTIF(TC_메인화면!H:H,"Blocked")</f>
        <v>0</v>
      </c>
      <c r="F51" s="14">
        <f>COUNTIF(TC_메인화면!H:H,"Not Tested")</f>
        <v>0</v>
      </c>
      <c r="G51" s="14">
        <f>COUNTA(TC_메인화면!H:H)-1</f>
        <v>149</v>
      </c>
      <c r="H51" s="15">
        <f>C51/G51</f>
        <v>0.91275167785234901</v>
      </c>
      <c r="I51" s="16">
        <f>D51/G51</f>
        <v>8.7248322147651006E-2</v>
      </c>
    </row>
    <row r="52" spans="1:9" x14ac:dyDescent="0.3">
      <c r="B52" s="14" t="s">
        <v>315</v>
      </c>
      <c r="C52" s="13">
        <f>COUNTIF(TC_튜토리얼!H:H,"Pass")</f>
        <v>71</v>
      </c>
      <c r="D52" s="14">
        <f>COUNTIF(TC_튜토리얼!H:H,"Fail")</f>
        <v>3</v>
      </c>
      <c r="E52" s="14">
        <f>COUNTIF(TC_튜토리얼!H:H,"Blocked")</f>
        <v>0</v>
      </c>
      <c r="F52" s="14">
        <f>COUNTIF(TC_튜토리얼!H:H,"Not Tested")</f>
        <v>0</v>
      </c>
      <c r="G52" s="13">
        <f>COUNTA(TC_튜토리얼!H:H)-1</f>
        <v>74</v>
      </c>
      <c r="H52" s="15">
        <f>C52/G52</f>
        <v>0.95945945945945943</v>
      </c>
      <c r="I52" s="16">
        <f>D52/G52</f>
        <v>4.0540540540540543E-2</v>
      </c>
    </row>
    <row r="53" spans="1:9" x14ac:dyDescent="0.3">
      <c r="B53" s="14" t="s">
        <v>71</v>
      </c>
      <c r="C53" s="13">
        <f>COUNTIF(TC_인게임!H:H,"Pass")</f>
        <v>127</v>
      </c>
      <c r="D53" s="14">
        <f>COUNTIF(TC_인게임!H:H,"Fail")</f>
        <v>2</v>
      </c>
      <c r="E53" s="14">
        <f>COUNTIF(TC_인게임!H:H,"Blocked")</f>
        <v>0</v>
      </c>
      <c r="F53" s="14">
        <f>COUNTIF(TC_인게임!H:H,"Not Tested")</f>
        <v>6</v>
      </c>
      <c r="G53" s="13">
        <f>COUNTA(TC_인게임!H:H)-1</f>
        <v>135</v>
      </c>
      <c r="H53" s="16">
        <f>C53/G53</f>
        <v>0.94074074074074077</v>
      </c>
      <c r="I53" s="16">
        <f>D53/G53</f>
        <v>1.4814814814814815E-2</v>
      </c>
    </row>
    <row r="54" spans="1:9" x14ac:dyDescent="0.3">
      <c r="B54" s="14"/>
      <c r="C54" s="14"/>
      <c r="D54" s="14"/>
      <c r="E54" s="14"/>
      <c r="F54" s="14"/>
      <c r="G54" s="14"/>
      <c r="H54" s="14"/>
      <c r="I54" s="14"/>
    </row>
  </sheetData>
  <mergeCells count="5">
    <mergeCell ref="B4:G4"/>
    <mergeCell ref="I4:N4"/>
    <mergeCell ref="B2:N2"/>
    <mergeCell ref="B5:G6"/>
    <mergeCell ref="I5:N6"/>
  </mergeCells>
  <phoneticPr fontId="6" type="noConversion"/>
  <pageMargins left="0.69972223043441772" right="0.69972223043441772" top="0.75" bottom="0.75" header="0.30000001192092896" footer="0.30000001192092896"/>
  <pageSetup paperSize="9" scale="46"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0000"/>
  </sheetPr>
  <dimension ref="A1:N151"/>
  <sheetViews>
    <sheetView showGridLines="0" zoomScaleNormal="100" zoomScaleSheetLayoutView="100" workbookViewId="0">
      <pane ySplit="2" topLeftCell="A3" activePane="bottomLeft" state="frozen"/>
      <selection pane="bottomLeft" activeCell="K2" sqref="K2"/>
    </sheetView>
  </sheetViews>
  <sheetFormatPr defaultColWidth="9" defaultRowHeight="12" x14ac:dyDescent="0.3"/>
  <cols>
    <col min="1" max="1" width="0.625" style="1" customWidth="1"/>
    <col min="2" max="2" width="9" style="1" bestFit="1" customWidth="1"/>
    <col min="3" max="3" width="20" style="2" customWidth="1"/>
    <col min="4" max="4" width="30" style="2" customWidth="1"/>
    <col min="5" max="7" width="45" style="3" customWidth="1"/>
    <col min="8" max="8" width="9.25" style="3" bestFit="1" customWidth="1"/>
    <col min="9" max="9" width="13" style="1" bestFit="1" customWidth="1"/>
    <col min="10" max="10" width="9.25" style="3" bestFit="1" customWidth="1"/>
    <col min="11" max="11" width="7.75" style="3" bestFit="1" customWidth="1"/>
    <col min="12" max="12" width="23.75" style="3" customWidth="1"/>
    <col min="13" max="16384" width="9" style="3"/>
  </cols>
  <sheetData>
    <row r="1" spans="2:14" ht="0" hidden="1" customHeight="1" x14ac:dyDescent="0.3"/>
    <row r="2" spans="2:14" s="2" customFormat="1" x14ac:dyDescent="0.3">
      <c r="B2" s="9" t="s">
        <v>365</v>
      </c>
      <c r="C2" s="9" t="s">
        <v>84</v>
      </c>
      <c r="D2" s="9" t="s">
        <v>83</v>
      </c>
      <c r="E2" s="9" t="s">
        <v>314</v>
      </c>
      <c r="F2" s="9" t="s">
        <v>360</v>
      </c>
      <c r="G2" s="9" t="s">
        <v>319</v>
      </c>
      <c r="H2" s="9" t="s">
        <v>335</v>
      </c>
      <c r="I2" s="9" t="s">
        <v>329</v>
      </c>
      <c r="J2" s="9" t="s">
        <v>333</v>
      </c>
      <c r="K2" s="9" t="s">
        <v>324</v>
      </c>
      <c r="L2" s="9" t="s">
        <v>361</v>
      </c>
    </row>
    <row r="3" spans="2:14" x14ac:dyDescent="0.3">
      <c r="B3" s="10">
        <v>1</v>
      </c>
      <c r="C3" s="26" t="s">
        <v>75</v>
      </c>
      <c r="D3" s="25" t="s">
        <v>73</v>
      </c>
      <c r="E3" s="11"/>
      <c r="F3" s="11" t="s">
        <v>137</v>
      </c>
      <c r="G3" s="11" t="s">
        <v>504</v>
      </c>
      <c r="H3" s="10" t="s">
        <v>355</v>
      </c>
      <c r="I3" s="10" t="s">
        <v>793</v>
      </c>
      <c r="J3" s="11" t="s">
        <v>798</v>
      </c>
      <c r="K3" s="11"/>
      <c r="L3" s="11"/>
      <c r="N3" s="4" t="s">
        <v>355</v>
      </c>
    </row>
    <row r="4" spans="2:14" x14ac:dyDescent="0.3">
      <c r="B4" s="10">
        <v>2</v>
      </c>
      <c r="C4" s="25"/>
      <c r="D4" s="25"/>
      <c r="E4" s="11"/>
      <c r="F4" s="11" t="s">
        <v>98</v>
      </c>
      <c r="G4" s="11" t="s">
        <v>497</v>
      </c>
      <c r="H4" s="10" t="s">
        <v>355</v>
      </c>
      <c r="I4" s="10" t="s">
        <v>793</v>
      </c>
      <c r="J4" s="11" t="s">
        <v>799</v>
      </c>
      <c r="K4" s="11"/>
      <c r="L4" s="11"/>
      <c r="N4" s="4" t="s">
        <v>363</v>
      </c>
    </row>
    <row r="5" spans="2:14" x14ac:dyDescent="0.3">
      <c r="B5" s="10">
        <v>3</v>
      </c>
      <c r="C5" s="25"/>
      <c r="D5" s="25"/>
      <c r="E5" s="11"/>
      <c r="F5" s="11" t="s">
        <v>752</v>
      </c>
      <c r="G5" s="11" t="s">
        <v>632</v>
      </c>
      <c r="H5" s="10" t="s">
        <v>355</v>
      </c>
      <c r="I5" s="10" t="s">
        <v>793</v>
      </c>
      <c r="J5" s="11" t="s">
        <v>799</v>
      </c>
      <c r="K5" s="11"/>
      <c r="L5" s="11"/>
      <c r="N5" s="4" t="s">
        <v>353</v>
      </c>
    </row>
    <row r="6" spans="2:14" x14ac:dyDescent="0.3">
      <c r="B6" s="10">
        <v>4</v>
      </c>
      <c r="C6" s="25"/>
      <c r="D6" s="25"/>
      <c r="E6" s="11"/>
      <c r="F6" s="11" t="s">
        <v>208</v>
      </c>
      <c r="G6" s="11" t="s">
        <v>684</v>
      </c>
      <c r="H6" s="10" t="s">
        <v>355</v>
      </c>
      <c r="I6" s="10" t="s">
        <v>793</v>
      </c>
      <c r="J6" s="11" t="s">
        <v>799</v>
      </c>
      <c r="K6" s="11"/>
      <c r="L6" s="11"/>
      <c r="N6" s="4" t="s">
        <v>556</v>
      </c>
    </row>
    <row r="7" spans="2:14" x14ac:dyDescent="0.3">
      <c r="B7" s="10">
        <v>5</v>
      </c>
      <c r="C7" s="25"/>
      <c r="D7" s="25"/>
      <c r="E7" s="11"/>
      <c r="F7" s="11" t="s">
        <v>213</v>
      </c>
      <c r="G7" s="11" t="s">
        <v>668</v>
      </c>
      <c r="H7" s="10" t="s">
        <v>355</v>
      </c>
      <c r="I7" s="10" t="s">
        <v>793</v>
      </c>
      <c r="J7" s="11" t="s">
        <v>799</v>
      </c>
      <c r="K7" s="11"/>
      <c r="L7" s="11"/>
      <c r="N7" s="4" t="s">
        <v>72</v>
      </c>
    </row>
    <row r="8" spans="2:14" x14ac:dyDescent="0.3">
      <c r="B8" s="10">
        <v>6</v>
      </c>
      <c r="C8" s="25"/>
      <c r="D8" s="25"/>
      <c r="E8" s="11"/>
      <c r="F8" s="11" t="s">
        <v>251</v>
      </c>
      <c r="G8" s="11" t="s">
        <v>634</v>
      </c>
      <c r="H8" s="10" t="s">
        <v>355</v>
      </c>
      <c r="I8" s="10" t="s">
        <v>793</v>
      </c>
      <c r="J8" s="11" t="s">
        <v>799</v>
      </c>
      <c r="K8" s="11"/>
      <c r="L8" s="11"/>
    </row>
    <row r="9" spans="2:14" x14ac:dyDescent="0.3">
      <c r="B9" s="10">
        <v>7</v>
      </c>
      <c r="C9" s="25"/>
      <c r="D9" s="25"/>
      <c r="E9" s="11"/>
      <c r="F9" s="11" t="s">
        <v>270</v>
      </c>
      <c r="G9" s="11" t="s">
        <v>501</v>
      </c>
      <c r="H9" s="10" t="s">
        <v>355</v>
      </c>
      <c r="I9" s="10" t="s">
        <v>793</v>
      </c>
      <c r="J9" s="11" t="s">
        <v>799</v>
      </c>
      <c r="K9" s="11"/>
      <c r="L9" s="11"/>
    </row>
    <row r="10" spans="2:14" x14ac:dyDescent="0.3">
      <c r="B10" s="10">
        <v>8</v>
      </c>
      <c r="C10" s="25"/>
      <c r="D10" s="25"/>
      <c r="E10" s="11"/>
      <c r="F10" s="11" t="s">
        <v>255</v>
      </c>
      <c r="G10" s="11" t="s">
        <v>248</v>
      </c>
      <c r="H10" s="10" t="s">
        <v>355</v>
      </c>
      <c r="I10" s="10" t="s">
        <v>793</v>
      </c>
      <c r="J10" s="11" t="s">
        <v>799</v>
      </c>
      <c r="K10" s="11"/>
      <c r="L10" s="11"/>
    </row>
    <row r="11" spans="2:14" x14ac:dyDescent="0.3">
      <c r="B11" s="10">
        <v>9</v>
      </c>
      <c r="C11" s="25"/>
      <c r="D11" s="25" t="s">
        <v>79</v>
      </c>
      <c r="E11" s="11"/>
      <c r="F11" s="11" t="s">
        <v>274</v>
      </c>
      <c r="G11" s="11" t="s">
        <v>682</v>
      </c>
      <c r="H11" s="10" t="s">
        <v>355</v>
      </c>
      <c r="I11" s="10" t="s">
        <v>793</v>
      </c>
      <c r="J11" s="11" t="s">
        <v>799</v>
      </c>
      <c r="K11" s="11"/>
      <c r="L11" s="11"/>
    </row>
    <row r="12" spans="2:14" x14ac:dyDescent="0.3">
      <c r="B12" s="10">
        <v>10</v>
      </c>
      <c r="C12" s="25"/>
      <c r="D12" s="25"/>
      <c r="E12" s="11"/>
      <c r="F12" s="11" t="s">
        <v>284</v>
      </c>
      <c r="G12" s="11" t="s">
        <v>200</v>
      </c>
      <c r="H12" s="10" t="s">
        <v>355</v>
      </c>
      <c r="I12" s="10" t="s">
        <v>793</v>
      </c>
      <c r="J12" s="11" t="s">
        <v>799</v>
      </c>
      <c r="K12" s="11"/>
      <c r="L12" s="11"/>
    </row>
    <row r="13" spans="2:14" x14ac:dyDescent="0.3">
      <c r="B13" s="10">
        <v>11</v>
      </c>
      <c r="C13" s="25"/>
      <c r="D13" s="25"/>
      <c r="E13" s="11"/>
      <c r="F13" s="11" t="s">
        <v>464</v>
      </c>
      <c r="G13" s="11" t="s">
        <v>735</v>
      </c>
      <c r="H13" s="10" t="s">
        <v>355</v>
      </c>
      <c r="I13" s="10" t="s">
        <v>793</v>
      </c>
      <c r="J13" s="11" t="s">
        <v>799</v>
      </c>
      <c r="K13" s="11"/>
      <c r="L13" s="11"/>
    </row>
    <row r="14" spans="2:14" ht="24" x14ac:dyDescent="0.3">
      <c r="B14" s="10">
        <v>12</v>
      </c>
      <c r="C14" s="25"/>
      <c r="D14" s="25"/>
      <c r="E14" s="11" t="s">
        <v>414</v>
      </c>
      <c r="F14" s="11" t="s">
        <v>626</v>
      </c>
      <c r="G14" s="11" t="s">
        <v>436</v>
      </c>
      <c r="H14" s="10" t="s">
        <v>788</v>
      </c>
      <c r="I14" s="10" t="s">
        <v>793</v>
      </c>
      <c r="J14" s="11" t="s">
        <v>799</v>
      </c>
      <c r="K14" s="11"/>
      <c r="L14" s="11"/>
    </row>
    <row r="15" spans="2:14" ht="36" x14ac:dyDescent="0.3">
      <c r="B15" s="10">
        <v>13</v>
      </c>
      <c r="C15" s="25"/>
      <c r="D15" s="25"/>
      <c r="E15" s="11" t="s">
        <v>660</v>
      </c>
      <c r="F15" s="11" t="s">
        <v>434</v>
      </c>
      <c r="G15" s="11" t="s">
        <v>311</v>
      </c>
      <c r="H15" s="10" t="s">
        <v>788</v>
      </c>
      <c r="I15" s="10" t="s">
        <v>793</v>
      </c>
      <c r="J15" s="11" t="s">
        <v>799</v>
      </c>
      <c r="K15" s="11"/>
      <c r="L15" s="11"/>
    </row>
    <row r="16" spans="2:14" x14ac:dyDescent="0.3">
      <c r="B16" s="10">
        <v>14</v>
      </c>
      <c r="C16" s="25"/>
      <c r="D16" s="25"/>
      <c r="E16" s="11"/>
      <c r="F16" s="11" t="s">
        <v>341</v>
      </c>
      <c r="G16" s="11" t="s">
        <v>461</v>
      </c>
      <c r="H16" s="10" t="s">
        <v>788</v>
      </c>
      <c r="I16" s="10" t="s">
        <v>793</v>
      </c>
      <c r="J16" s="11" t="s">
        <v>799</v>
      </c>
      <c r="K16" s="11"/>
      <c r="L16" s="11"/>
    </row>
    <row r="17" spans="2:12" ht="24" x14ac:dyDescent="0.3">
      <c r="B17" s="10">
        <v>15</v>
      </c>
      <c r="C17" s="25"/>
      <c r="D17" s="25"/>
      <c r="E17" s="11" t="s">
        <v>404</v>
      </c>
      <c r="F17" s="11" t="s">
        <v>91</v>
      </c>
      <c r="G17" s="11" t="s">
        <v>436</v>
      </c>
      <c r="H17" s="10" t="s">
        <v>788</v>
      </c>
      <c r="I17" s="10" t="s">
        <v>793</v>
      </c>
      <c r="J17" s="11" t="s">
        <v>799</v>
      </c>
      <c r="K17" s="11"/>
      <c r="L17" s="11"/>
    </row>
    <row r="18" spans="2:12" ht="36" x14ac:dyDescent="0.3">
      <c r="B18" s="10">
        <v>16</v>
      </c>
      <c r="C18" s="25"/>
      <c r="D18" s="25"/>
      <c r="E18" s="11" t="s">
        <v>661</v>
      </c>
      <c r="F18" s="11" t="s">
        <v>383</v>
      </c>
      <c r="G18" s="11" t="s">
        <v>311</v>
      </c>
      <c r="H18" s="10" t="s">
        <v>355</v>
      </c>
      <c r="I18" s="10" t="s">
        <v>793</v>
      </c>
      <c r="J18" s="11" t="s">
        <v>799</v>
      </c>
      <c r="K18" s="11"/>
      <c r="L18" s="11"/>
    </row>
    <row r="19" spans="2:12" x14ac:dyDescent="0.3">
      <c r="B19" s="10">
        <v>17</v>
      </c>
      <c r="C19" s="25"/>
      <c r="D19" s="25"/>
      <c r="E19" s="11"/>
      <c r="F19" s="11" t="s">
        <v>552</v>
      </c>
      <c r="G19" s="11" t="s">
        <v>459</v>
      </c>
      <c r="H19" s="10" t="s">
        <v>355</v>
      </c>
      <c r="I19" s="10" t="s">
        <v>793</v>
      </c>
      <c r="J19" s="11" t="s">
        <v>799</v>
      </c>
      <c r="K19" s="11"/>
      <c r="L19" s="11"/>
    </row>
    <row r="20" spans="2:12" ht="24" x14ac:dyDescent="0.3">
      <c r="B20" s="10">
        <v>18</v>
      </c>
      <c r="C20" s="25"/>
      <c r="D20" s="25"/>
      <c r="E20" s="11" t="s">
        <v>373</v>
      </c>
      <c r="F20" s="11" t="s">
        <v>617</v>
      </c>
      <c r="G20" s="11" t="s">
        <v>436</v>
      </c>
      <c r="H20" s="10" t="s">
        <v>355</v>
      </c>
      <c r="I20" s="10" t="s">
        <v>793</v>
      </c>
      <c r="J20" s="11" t="s">
        <v>799</v>
      </c>
      <c r="K20" s="11"/>
      <c r="L20" s="11"/>
    </row>
    <row r="21" spans="2:12" ht="36" x14ac:dyDescent="0.3">
      <c r="B21" s="10">
        <v>19</v>
      </c>
      <c r="C21" s="25"/>
      <c r="D21" s="25"/>
      <c r="E21" s="11" t="s">
        <v>679</v>
      </c>
      <c r="F21" s="11" t="s">
        <v>297</v>
      </c>
      <c r="G21" s="11" t="s">
        <v>311</v>
      </c>
      <c r="H21" s="10" t="s">
        <v>355</v>
      </c>
      <c r="I21" s="10" t="s">
        <v>793</v>
      </c>
      <c r="J21" s="11" t="s">
        <v>799</v>
      </c>
      <c r="K21" s="11"/>
      <c r="L21" s="11"/>
    </row>
    <row r="22" spans="2:12" x14ac:dyDescent="0.3">
      <c r="B22" s="10">
        <v>20</v>
      </c>
      <c r="C22" s="25"/>
      <c r="D22" s="25"/>
      <c r="E22" s="11"/>
      <c r="F22" s="11" t="s">
        <v>751</v>
      </c>
      <c r="G22" s="11" t="s">
        <v>760</v>
      </c>
      <c r="H22" s="10" t="s">
        <v>355</v>
      </c>
      <c r="I22" s="10" t="s">
        <v>793</v>
      </c>
      <c r="J22" s="11" t="s">
        <v>799</v>
      </c>
      <c r="K22" s="11"/>
      <c r="L22" s="11"/>
    </row>
    <row r="23" spans="2:12" ht="24" x14ac:dyDescent="0.3">
      <c r="B23" s="10">
        <v>21</v>
      </c>
      <c r="C23" s="25"/>
      <c r="D23" s="25"/>
      <c r="E23" s="11" t="s">
        <v>396</v>
      </c>
      <c r="F23" s="11" t="s">
        <v>666</v>
      </c>
      <c r="G23" s="11" t="s">
        <v>436</v>
      </c>
      <c r="H23" s="10" t="s">
        <v>355</v>
      </c>
      <c r="I23" s="10" t="s">
        <v>793</v>
      </c>
      <c r="J23" s="11" t="s">
        <v>799</v>
      </c>
      <c r="K23" s="11"/>
      <c r="L23" s="11"/>
    </row>
    <row r="24" spans="2:12" ht="36" x14ac:dyDescent="0.3">
      <c r="B24" s="10">
        <v>22</v>
      </c>
      <c r="C24" s="25"/>
      <c r="D24" s="25"/>
      <c r="E24" s="11" t="s">
        <v>685</v>
      </c>
      <c r="F24" s="11" t="s">
        <v>40</v>
      </c>
      <c r="G24" s="11" t="s">
        <v>311</v>
      </c>
      <c r="H24" s="10" t="s">
        <v>355</v>
      </c>
      <c r="I24" s="10" t="s">
        <v>793</v>
      </c>
      <c r="J24" s="11" t="s">
        <v>799</v>
      </c>
      <c r="K24" s="11"/>
      <c r="L24" s="11"/>
    </row>
    <row r="25" spans="2:12" x14ac:dyDescent="0.3">
      <c r="B25" s="10">
        <v>23</v>
      </c>
      <c r="C25" s="25"/>
      <c r="D25" s="25"/>
      <c r="E25" s="11"/>
      <c r="F25" s="11" t="s">
        <v>460</v>
      </c>
      <c r="G25" s="11" t="s">
        <v>465</v>
      </c>
      <c r="H25" s="10" t="s">
        <v>355</v>
      </c>
      <c r="I25" s="10" t="s">
        <v>793</v>
      </c>
      <c r="J25" s="11" t="s">
        <v>799</v>
      </c>
      <c r="K25" s="11"/>
      <c r="L25" s="11"/>
    </row>
    <row r="26" spans="2:12" ht="48" x14ac:dyDescent="0.3">
      <c r="B26" s="10">
        <v>24</v>
      </c>
      <c r="C26" s="25"/>
      <c r="D26" s="25"/>
      <c r="E26" s="11" t="s">
        <v>303</v>
      </c>
      <c r="F26" s="11" t="s">
        <v>568</v>
      </c>
      <c r="G26" s="11" t="s">
        <v>436</v>
      </c>
      <c r="H26" s="10" t="s">
        <v>355</v>
      </c>
      <c r="I26" s="10" t="s">
        <v>793</v>
      </c>
      <c r="J26" s="11" t="s">
        <v>799</v>
      </c>
      <c r="K26" s="11"/>
      <c r="L26" s="11"/>
    </row>
    <row r="27" spans="2:12" ht="24" x14ac:dyDescent="0.3">
      <c r="B27" s="10">
        <v>25</v>
      </c>
      <c r="C27" s="25"/>
      <c r="D27" s="25"/>
      <c r="E27" s="11" t="s">
        <v>608</v>
      </c>
      <c r="F27" s="11" t="s">
        <v>370</v>
      </c>
      <c r="G27" s="11" t="s">
        <v>311</v>
      </c>
      <c r="H27" s="10" t="s">
        <v>355</v>
      </c>
      <c r="I27" s="10" t="s">
        <v>793</v>
      </c>
      <c r="J27" s="11" t="s">
        <v>799</v>
      </c>
      <c r="K27" s="11"/>
      <c r="L27" s="11"/>
    </row>
    <row r="28" spans="2:12" x14ac:dyDescent="0.3">
      <c r="B28" s="10">
        <v>26</v>
      </c>
      <c r="C28" s="25"/>
      <c r="D28" s="25"/>
      <c r="E28" s="11"/>
      <c r="F28" s="11" t="s">
        <v>440</v>
      </c>
      <c r="G28" s="11" t="s">
        <v>750</v>
      </c>
      <c r="H28" s="10" t="s">
        <v>355</v>
      </c>
      <c r="I28" s="10" t="s">
        <v>793</v>
      </c>
      <c r="J28" s="11" t="s">
        <v>799</v>
      </c>
      <c r="K28" s="11"/>
      <c r="L28" s="11"/>
    </row>
    <row r="29" spans="2:12" x14ac:dyDescent="0.3">
      <c r="B29" s="10">
        <v>27</v>
      </c>
      <c r="C29" s="25"/>
      <c r="D29" s="25" t="s">
        <v>320</v>
      </c>
      <c r="E29" s="11"/>
      <c r="F29" s="11" t="s">
        <v>106</v>
      </c>
      <c r="G29" s="11" t="s">
        <v>152</v>
      </c>
      <c r="H29" s="10" t="s">
        <v>355</v>
      </c>
      <c r="I29" s="10" t="s">
        <v>793</v>
      </c>
      <c r="J29" s="11" t="s">
        <v>799</v>
      </c>
      <c r="K29" s="11"/>
      <c r="L29" s="11"/>
    </row>
    <row r="30" spans="2:12" x14ac:dyDescent="0.3">
      <c r="B30" s="10">
        <v>28</v>
      </c>
      <c r="C30" s="25"/>
      <c r="D30" s="25"/>
      <c r="E30" s="11"/>
      <c r="F30" s="11" t="s">
        <v>92</v>
      </c>
      <c r="G30" s="11" t="s">
        <v>138</v>
      </c>
      <c r="H30" s="10" t="s">
        <v>355</v>
      </c>
      <c r="I30" s="10" t="s">
        <v>793</v>
      </c>
      <c r="J30" s="11" t="s">
        <v>799</v>
      </c>
      <c r="K30" s="11"/>
      <c r="L30" s="11"/>
    </row>
    <row r="31" spans="2:12" x14ac:dyDescent="0.3">
      <c r="B31" s="10">
        <v>29</v>
      </c>
      <c r="C31" s="25"/>
      <c r="D31" s="25"/>
      <c r="E31" s="11" t="s">
        <v>124</v>
      </c>
      <c r="F31" s="11" t="s">
        <v>108</v>
      </c>
      <c r="G31" s="11" t="s">
        <v>444</v>
      </c>
      <c r="H31" s="10" t="s">
        <v>355</v>
      </c>
      <c r="I31" s="10" t="s">
        <v>793</v>
      </c>
      <c r="J31" s="11" t="s">
        <v>799</v>
      </c>
      <c r="K31" s="11"/>
      <c r="L31" s="11"/>
    </row>
    <row r="32" spans="2:12" x14ac:dyDescent="0.3">
      <c r="B32" s="10">
        <v>30</v>
      </c>
      <c r="C32" s="25"/>
      <c r="D32" s="25"/>
      <c r="E32" s="11" t="s">
        <v>173</v>
      </c>
      <c r="F32" s="11" t="s">
        <v>119</v>
      </c>
      <c r="G32" s="11" t="s">
        <v>160</v>
      </c>
      <c r="H32" s="10" t="s">
        <v>355</v>
      </c>
      <c r="I32" s="10" t="s">
        <v>793</v>
      </c>
      <c r="J32" s="11" t="s">
        <v>799</v>
      </c>
      <c r="K32" s="11"/>
      <c r="L32" s="11"/>
    </row>
    <row r="33" spans="2:12" ht="24" x14ac:dyDescent="0.3">
      <c r="B33" s="10">
        <v>31</v>
      </c>
      <c r="C33" s="25"/>
      <c r="D33" s="25"/>
      <c r="E33" s="11" t="s">
        <v>667</v>
      </c>
      <c r="F33" s="11" t="s">
        <v>691</v>
      </c>
      <c r="G33" s="11" t="s">
        <v>662</v>
      </c>
      <c r="H33" s="10" t="s">
        <v>355</v>
      </c>
      <c r="I33" s="10" t="s">
        <v>793</v>
      </c>
      <c r="J33" s="11" t="s">
        <v>799</v>
      </c>
      <c r="K33" s="11"/>
      <c r="L33" s="11"/>
    </row>
    <row r="34" spans="2:12" x14ac:dyDescent="0.3">
      <c r="B34" s="10">
        <v>32</v>
      </c>
      <c r="C34" s="25"/>
      <c r="D34" s="25"/>
      <c r="E34" s="11" t="s">
        <v>166</v>
      </c>
      <c r="F34" s="11" t="s">
        <v>105</v>
      </c>
      <c r="G34" s="11" t="s">
        <v>760</v>
      </c>
      <c r="H34" s="10" t="s">
        <v>355</v>
      </c>
      <c r="I34" s="10" t="s">
        <v>793</v>
      </c>
      <c r="J34" s="11" t="s">
        <v>799</v>
      </c>
      <c r="K34" s="11"/>
      <c r="L34" s="11"/>
    </row>
    <row r="35" spans="2:12" x14ac:dyDescent="0.3">
      <c r="B35" s="10">
        <v>33</v>
      </c>
      <c r="C35" s="25"/>
      <c r="D35" s="25"/>
      <c r="E35" s="11" t="s">
        <v>172</v>
      </c>
      <c r="F35" s="11" t="s">
        <v>640</v>
      </c>
      <c r="G35" s="11" t="s">
        <v>237</v>
      </c>
      <c r="H35" s="10" t="s">
        <v>355</v>
      </c>
      <c r="I35" s="10" t="s">
        <v>793</v>
      </c>
      <c r="J35" s="11" t="s">
        <v>799</v>
      </c>
      <c r="K35" s="11"/>
      <c r="L35" s="11"/>
    </row>
    <row r="36" spans="2:12" x14ac:dyDescent="0.3">
      <c r="B36" s="10">
        <v>34</v>
      </c>
      <c r="C36" s="25"/>
      <c r="D36" s="25" t="s">
        <v>78</v>
      </c>
      <c r="E36" s="11"/>
      <c r="F36" s="11" t="s">
        <v>330</v>
      </c>
      <c r="G36" s="11" t="s">
        <v>348</v>
      </c>
      <c r="H36" s="10" t="s">
        <v>355</v>
      </c>
      <c r="I36" s="10" t="s">
        <v>793</v>
      </c>
      <c r="J36" s="11" t="s">
        <v>799</v>
      </c>
      <c r="K36" s="11"/>
      <c r="L36" s="11"/>
    </row>
    <row r="37" spans="2:12" x14ac:dyDescent="0.3">
      <c r="B37" s="10">
        <v>35</v>
      </c>
      <c r="C37" s="25"/>
      <c r="D37" s="25"/>
      <c r="E37" s="11"/>
      <c r="F37" s="11" t="s">
        <v>180</v>
      </c>
      <c r="G37" s="11" t="s">
        <v>179</v>
      </c>
      <c r="H37" s="10" t="s">
        <v>355</v>
      </c>
      <c r="I37" s="10" t="s">
        <v>793</v>
      </c>
      <c r="J37" s="11" t="s">
        <v>799</v>
      </c>
      <c r="K37" s="11"/>
      <c r="L37" s="11"/>
    </row>
    <row r="38" spans="2:12" x14ac:dyDescent="0.3">
      <c r="B38" s="10">
        <v>36</v>
      </c>
      <c r="C38" s="25"/>
      <c r="D38" s="25"/>
      <c r="E38" s="11"/>
      <c r="F38" s="11" t="s">
        <v>594</v>
      </c>
      <c r="G38" s="11" t="s">
        <v>586</v>
      </c>
      <c r="H38" s="10" t="s">
        <v>355</v>
      </c>
      <c r="I38" s="10" t="s">
        <v>793</v>
      </c>
      <c r="J38" s="11" t="s">
        <v>799</v>
      </c>
      <c r="K38" s="11"/>
      <c r="L38" s="11"/>
    </row>
    <row r="39" spans="2:12" ht="24" x14ac:dyDescent="0.3">
      <c r="B39" s="10">
        <v>37</v>
      </c>
      <c r="C39" s="25"/>
      <c r="D39" s="25"/>
      <c r="E39" s="11" t="s">
        <v>384</v>
      </c>
      <c r="F39" s="11" t="s">
        <v>96</v>
      </c>
      <c r="G39" s="11" t="s">
        <v>436</v>
      </c>
      <c r="H39" s="10" t="s">
        <v>355</v>
      </c>
      <c r="I39" s="10" t="s">
        <v>793</v>
      </c>
      <c r="J39" s="11" t="s">
        <v>799</v>
      </c>
      <c r="K39" s="11"/>
      <c r="L39" s="11"/>
    </row>
    <row r="40" spans="2:12" x14ac:dyDescent="0.3">
      <c r="B40" s="10">
        <v>38</v>
      </c>
      <c r="C40" s="25"/>
      <c r="D40" s="25" t="s">
        <v>231</v>
      </c>
      <c r="E40" s="11"/>
      <c r="F40" s="11" t="s">
        <v>747</v>
      </c>
      <c r="G40" s="11" t="s">
        <v>454</v>
      </c>
      <c r="H40" s="10" t="s">
        <v>363</v>
      </c>
      <c r="I40" s="10" t="s">
        <v>793</v>
      </c>
      <c r="J40" s="11" t="s">
        <v>799</v>
      </c>
      <c r="K40" s="11"/>
      <c r="L40" s="11"/>
    </row>
    <row r="41" spans="2:12" x14ac:dyDescent="0.3">
      <c r="B41" s="10">
        <v>39</v>
      </c>
      <c r="C41" s="25"/>
      <c r="D41" s="25"/>
      <c r="E41" s="11"/>
      <c r="F41" s="11" t="s">
        <v>366</v>
      </c>
      <c r="G41" s="11" t="s">
        <v>737</v>
      </c>
      <c r="H41" s="10" t="s">
        <v>363</v>
      </c>
      <c r="I41" s="10" t="s">
        <v>793</v>
      </c>
      <c r="J41" s="11" t="s">
        <v>799</v>
      </c>
      <c r="K41" s="11"/>
      <c r="L41" s="11"/>
    </row>
    <row r="42" spans="2:12" x14ac:dyDescent="0.3">
      <c r="B42" s="10">
        <v>40</v>
      </c>
      <c r="C42" s="25"/>
      <c r="D42" s="25"/>
      <c r="E42" s="11"/>
      <c r="F42" s="11" t="s">
        <v>744</v>
      </c>
      <c r="G42" s="11" t="s">
        <v>765</v>
      </c>
      <c r="H42" s="10" t="s">
        <v>363</v>
      </c>
      <c r="I42" s="10" t="s">
        <v>793</v>
      </c>
      <c r="J42" s="11" t="s">
        <v>799</v>
      </c>
      <c r="K42" s="11"/>
      <c r="L42" s="11"/>
    </row>
    <row r="43" spans="2:12" ht="24" x14ac:dyDescent="0.3">
      <c r="B43" s="10">
        <v>41</v>
      </c>
      <c r="C43" s="25"/>
      <c r="D43" s="25"/>
      <c r="E43" s="11" t="s">
        <v>369</v>
      </c>
      <c r="F43" s="11" t="s">
        <v>654</v>
      </c>
      <c r="G43" s="11" t="s">
        <v>436</v>
      </c>
      <c r="H43" s="10" t="s">
        <v>363</v>
      </c>
      <c r="I43" s="10" t="s">
        <v>793</v>
      </c>
      <c r="J43" s="11" t="s">
        <v>799</v>
      </c>
      <c r="K43" s="11"/>
      <c r="L43" s="11"/>
    </row>
    <row r="44" spans="2:12" ht="24" x14ac:dyDescent="0.3">
      <c r="B44" s="10">
        <v>42</v>
      </c>
      <c r="C44" s="25"/>
      <c r="D44" s="25"/>
      <c r="E44" s="11" t="s">
        <v>591</v>
      </c>
      <c r="F44" s="11" t="s">
        <v>182</v>
      </c>
      <c r="G44" s="11" t="s">
        <v>311</v>
      </c>
      <c r="H44" s="10" t="s">
        <v>363</v>
      </c>
      <c r="I44" s="10" t="s">
        <v>793</v>
      </c>
      <c r="J44" s="11" t="s">
        <v>799</v>
      </c>
      <c r="K44" s="11"/>
      <c r="L44" s="11"/>
    </row>
    <row r="45" spans="2:12" x14ac:dyDescent="0.3">
      <c r="B45" s="10">
        <v>43</v>
      </c>
      <c r="C45" s="25"/>
      <c r="D45" s="25"/>
      <c r="E45" s="11"/>
      <c r="F45" s="11" t="s">
        <v>328</v>
      </c>
      <c r="G45" s="11" t="s">
        <v>364</v>
      </c>
      <c r="H45" s="10" t="s">
        <v>363</v>
      </c>
      <c r="I45" s="10" t="s">
        <v>793</v>
      </c>
      <c r="J45" s="11" t="s">
        <v>799</v>
      </c>
      <c r="K45" s="11"/>
      <c r="L45" s="11"/>
    </row>
    <row r="46" spans="2:12" x14ac:dyDescent="0.3">
      <c r="B46" s="10">
        <v>44</v>
      </c>
      <c r="C46" s="25"/>
      <c r="D46" s="25" t="s">
        <v>351</v>
      </c>
      <c r="E46" s="11"/>
      <c r="F46" s="11" t="s">
        <v>783</v>
      </c>
      <c r="G46" s="11" t="s">
        <v>449</v>
      </c>
      <c r="H46" s="10" t="s">
        <v>363</v>
      </c>
      <c r="I46" s="10" t="s">
        <v>793</v>
      </c>
      <c r="J46" s="11" t="s">
        <v>799</v>
      </c>
      <c r="K46" s="11"/>
      <c r="L46" s="11"/>
    </row>
    <row r="47" spans="2:12" ht="24" x14ac:dyDescent="0.3">
      <c r="B47" s="10">
        <v>45</v>
      </c>
      <c r="C47" s="25"/>
      <c r="D47" s="25"/>
      <c r="E47" s="11" t="s">
        <v>693</v>
      </c>
      <c r="F47" s="11" t="s">
        <v>771</v>
      </c>
      <c r="G47" s="11" t="s">
        <v>171</v>
      </c>
      <c r="H47" s="10" t="s">
        <v>363</v>
      </c>
      <c r="I47" s="10" t="s">
        <v>793</v>
      </c>
      <c r="J47" s="11" t="s">
        <v>799</v>
      </c>
      <c r="K47" s="11"/>
      <c r="L47" s="11"/>
    </row>
    <row r="48" spans="2:12" x14ac:dyDescent="0.3">
      <c r="B48" s="10">
        <v>46</v>
      </c>
      <c r="C48" s="25"/>
      <c r="D48" s="25"/>
      <c r="E48" s="11" t="s">
        <v>167</v>
      </c>
      <c r="F48" s="11" t="s">
        <v>764</v>
      </c>
      <c r="G48" s="11" t="s">
        <v>118</v>
      </c>
      <c r="H48" s="10" t="s">
        <v>363</v>
      </c>
      <c r="I48" s="10" t="s">
        <v>793</v>
      </c>
      <c r="J48" s="11" t="s">
        <v>799</v>
      </c>
      <c r="K48" s="11"/>
      <c r="L48" s="11"/>
    </row>
    <row r="49" spans="2:12" x14ac:dyDescent="0.3">
      <c r="B49" s="10">
        <v>47</v>
      </c>
      <c r="C49" s="25"/>
      <c r="D49" s="25"/>
      <c r="E49" s="24" t="s">
        <v>131</v>
      </c>
      <c r="F49" s="11" t="s">
        <v>678</v>
      </c>
      <c r="G49" s="11" t="s">
        <v>264</v>
      </c>
      <c r="H49" s="10" t="s">
        <v>363</v>
      </c>
      <c r="I49" s="10" t="s">
        <v>793</v>
      </c>
      <c r="J49" s="11" t="s">
        <v>799</v>
      </c>
      <c r="K49" s="11"/>
      <c r="L49" s="11"/>
    </row>
    <row r="50" spans="2:12" x14ac:dyDescent="0.3">
      <c r="B50" s="10">
        <v>48</v>
      </c>
      <c r="C50" s="25"/>
      <c r="D50" s="25"/>
      <c r="E50" s="24"/>
      <c r="F50" s="11" t="s">
        <v>783</v>
      </c>
      <c r="G50" s="11" t="s">
        <v>444</v>
      </c>
      <c r="H50" s="10" t="s">
        <v>363</v>
      </c>
      <c r="I50" s="10" t="s">
        <v>793</v>
      </c>
      <c r="J50" s="11" t="s">
        <v>799</v>
      </c>
      <c r="K50" s="11"/>
      <c r="L50" s="11"/>
    </row>
    <row r="51" spans="2:12" x14ac:dyDescent="0.3">
      <c r="B51" s="10">
        <v>49</v>
      </c>
      <c r="C51" s="25"/>
      <c r="D51" s="25"/>
      <c r="E51" s="24" t="s">
        <v>575</v>
      </c>
      <c r="F51" s="11" t="s">
        <v>633</v>
      </c>
      <c r="G51" s="11" t="s">
        <v>264</v>
      </c>
      <c r="H51" s="10" t="s">
        <v>363</v>
      </c>
      <c r="I51" s="10" t="s">
        <v>793</v>
      </c>
      <c r="J51" s="11" t="s">
        <v>799</v>
      </c>
      <c r="K51" s="11"/>
      <c r="L51" s="11"/>
    </row>
    <row r="52" spans="2:12" x14ac:dyDescent="0.3">
      <c r="B52" s="10">
        <v>50</v>
      </c>
      <c r="C52" s="25"/>
      <c r="D52" s="25"/>
      <c r="E52" s="24"/>
      <c r="F52" s="11" t="s">
        <v>230</v>
      </c>
      <c r="G52" s="11" t="s">
        <v>444</v>
      </c>
      <c r="H52" s="10" t="s">
        <v>363</v>
      </c>
      <c r="I52" s="10" t="s">
        <v>793</v>
      </c>
      <c r="J52" s="11" t="s">
        <v>799</v>
      </c>
      <c r="K52" s="11"/>
      <c r="L52" s="11"/>
    </row>
    <row r="53" spans="2:12" x14ac:dyDescent="0.3">
      <c r="B53" s="10">
        <v>51</v>
      </c>
      <c r="C53" s="25"/>
      <c r="D53" s="12" t="s">
        <v>69</v>
      </c>
      <c r="E53" s="11"/>
      <c r="F53" s="11" t="s">
        <v>772</v>
      </c>
      <c r="G53" s="11" t="s">
        <v>672</v>
      </c>
      <c r="H53" s="10" t="s">
        <v>355</v>
      </c>
      <c r="I53" s="10" t="s">
        <v>793</v>
      </c>
      <c r="J53" s="11" t="s">
        <v>799</v>
      </c>
      <c r="K53" s="11"/>
      <c r="L53" s="11"/>
    </row>
    <row r="54" spans="2:12" x14ac:dyDescent="0.3">
      <c r="B54" s="10">
        <v>52</v>
      </c>
      <c r="C54" s="25" t="s">
        <v>73</v>
      </c>
      <c r="D54" s="25" t="s">
        <v>79</v>
      </c>
      <c r="E54" s="11"/>
      <c r="F54" s="11" t="s">
        <v>221</v>
      </c>
      <c r="G54" s="11" t="s">
        <v>780</v>
      </c>
      <c r="H54" s="10" t="s">
        <v>355</v>
      </c>
      <c r="I54" s="10" t="s">
        <v>793</v>
      </c>
      <c r="J54" s="11" t="s">
        <v>799</v>
      </c>
      <c r="K54" s="11"/>
      <c r="L54" s="11"/>
    </row>
    <row r="55" spans="2:12" x14ac:dyDescent="0.3">
      <c r="B55" s="10">
        <v>53</v>
      </c>
      <c r="C55" s="25"/>
      <c r="D55" s="25"/>
      <c r="E55" s="11"/>
      <c r="F55" s="11" t="s">
        <v>129</v>
      </c>
      <c r="G55" s="11" t="s">
        <v>668</v>
      </c>
      <c r="H55" s="10" t="s">
        <v>355</v>
      </c>
      <c r="I55" s="10" t="s">
        <v>793</v>
      </c>
      <c r="J55" s="11" t="s">
        <v>799</v>
      </c>
      <c r="K55" s="11"/>
      <c r="L55" s="11"/>
    </row>
    <row r="56" spans="2:12" x14ac:dyDescent="0.3">
      <c r="B56" s="10">
        <v>54</v>
      </c>
      <c r="C56" s="25"/>
      <c r="D56" s="25"/>
      <c r="E56" s="11"/>
      <c r="F56" s="11" t="s">
        <v>290</v>
      </c>
      <c r="G56" s="11" t="s">
        <v>778</v>
      </c>
      <c r="H56" s="10" t="s">
        <v>355</v>
      </c>
      <c r="I56" s="10" t="s">
        <v>793</v>
      </c>
      <c r="J56" s="11" t="s">
        <v>799</v>
      </c>
      <c r="K56" s="11"/>
      <c r="L56" s="11"/>
    </row>
    <row r="57" spans="2:12" x14ac:dyDescent="0.3">
      <c r="B57" s="10">
        <v>55</v>
      </c>
      <c r="C57" s="25"/>
      <c r="D57" s="25" t="s">
        <v>313</v>
      </c>
      <c r="E57" s="11"/>
      <c r="F57" s="11" t="s">
        <v>229</v>
      </c>
      <c r="G57" s="11" t="s">
        <v>672</v>
      </c>
      <c r="H57" s="10" t="s">
        <v>355</v>
      </c>
      <c r="I57" s="10" t="s">
        <v>793</v>
      </c>
      <c r="J57" s="11" t="s">
        <v>799</v>
      </c>
      <c r="K57" s="11"/>
      <c r="L57" s="11"/>
    </row>
    <row r="58" spans="2:12" x14ac:dyDescent="0.3">
      <c r="B58" s="10">
        <v>56</v>
      </c>
      <c r="C58" s="25"/>
      <c r="D58" s="25"/>
      <c r="E58" s="11"/>
      <c r="F58" s="11" t="s">
        <v>261</v>
      </c>
      <c r="G58" s="11" t="s">
        <v>253</v>
      </c>
      <c r="H58" s="10" t="s">
        <v>355</v>
      </c>
      <c r="I58" s="10" t="s">
        <v>793</v>
      </c>
      <c r="J58" s="11" t="s">
        <v>799</v>
      </c>
      <c r="K58" s="11"/>
      <c r="L58" s="11"/>
    </row>
    <row r="59" spans="2:12" x14ac:dyDescent="0.3">
      <c r="B59" s="10">
        <v>57</v>
      </c>
      <c r="C59" s="25"/>
      <c r="D59" s="25"/>
      <c r="E59" s="11"/>
      <c r="F59" s="11" t="s">
        <v>137</v>
      </c>
      <c r="G59" s="11" t="s">
        <v>504</v>
      </c>
      <c r="H59" s="10" t="s">
        <v>355</v>
      </c>
      <c r="I59" s="10" t="s">
        <v>793</v>
      </c>
      <c r="J59" s="11" t="s">
        <v>799</v>
      </c>
      <c r="K59" s="11"/>
      <c r="L59" s="11"/>
    </row>
    <row r="60" spans="2:12" x14ac:dyDescent="0.3">
      <c r="B60" s="10">
        <v>58</v>
      </c>
      <c r="C60" s="25"/>
      <c r="D60" s="25"/>
      <c r="E60" s="11"/>
      <c r="F60" s="11" t="s">
        <v>98</v>
      </c>
      <c r="G60" s="11" t="s">
        <v>497</v>
      </c>
      <c r="H60" s="10" t="s">
        <v>355</v>
      </c>
      <c r="I60" s="10" t="s">
        <v>793</v>
      </c>
      <c r="J60" s="11" t="s">
        <v>799</v>
      </c>
      <c r="K60" s="11"/>
      <c r="L60" s="11"/>
    </row>
    <row r="61" spans="2:12" x14ac:dyDescent="0.3">
      <c r="B61" s="10">
        <v>59</v>
      </c>
      <c r="C61" s="25"/>
      <c r="D61" s="25"/>
      <c r="E61" s="11"/>
      <c r="F61" s="11" t="s">
        <v>113</v>
      </c>
      <c r="G61" s="11" t="s">
        <v>266</v>
      </c>
      <c r="H61" s="10" t="s">
        <v>355</v>
      </c>
      <c r="I61" s="10" t="s">
        <v>793</v>
      </c>
      <c r="J61" s="11" t="s">
        <v>799</v>
      </c>
      <c r="K61" s="11"/>
      <c r="L61" s="11"/>
    </row>
    <row r="62" spans="2:12" x14ac:dyDescent="0.3">
      <c r="B62" s="10">
        <v>60</v>
      </c>
      <c r="C62" s="25"/>
      <c r="D62" s="25"/>
      <c r="E62" s="11"/>
      <c r="F62" s="11" t="s">
        <v>752</v>
      </c>
      <c r="G62" s="11" t="s">
        <v>632</v>
      </c>
      <c r="H62" s="10" t="s">
        <v>355</v>
      </c>
      <c r="I62" s="10" t="s">
        <v>793</v>
      </c>
      <c r="J62" s="11" t="s">
        <v>799</v>
      </c>
      <c r="K62" s="11"/>
      <c r="L62" s="11"/>
    </row>
    <row r="63" spans="2:12" x14ac:dyDescent="0.3">
      <c r="B63" s="10">
        <v>61</v>
      </c>
      <c r="C63" s="25"/>
      <c r="D63" s="25"/>
      <c r="E63" s="11"/>
      <c r="F63" s="11" t="s">
        <v>462</v>
      </c>
      <c r="G63" s="11" t="s">
        <v>774</v>
      </c>
      <c r="H63" s="10" t="s">
        <v>355</v>
      </c>
      <c r="I63" s="10" t="s">
        <v>793</v>
      </c>
      <c r="J63" s="11" t="s">
        <v>799</v>
      </c>
      <c r="K63" s="11"/>
      <c r="L63" s="11"/>
    </row>
    <row r="64" spans="2:12" x14ac:dyDescent="0.3">
      <c r="B64" s="10">
        <v>62</v>
      </c>
      <c r="C64" s="25"/>
      <c r="D64" s="25"/>
      <c r="E64" s="11"/>
      <c r="F64" s="11" t="s">
        <v>251</v>
      </c>
      <c r="G64" s="11" t="s">
        <v>634</v>
      </c>
      <c r="H64" s="10" t="s">
        <v>355</v>
      </c>
      <c r="I64" s="10" t="s">
        <v>793</v>
      </c>
      <c r="J64" s="11" t="s">
        <v>799</v>
      </c>
      <c r="K64" s="11"/>
      <c r="L64" s="11"/>
    </row>
    <row r="65" spans="2:12" x14ac:dyDescent="0.3">
      <c r="B65" s="10">
        <v>63</v>
      </c>
      <c r="C65" s="25"/>
      <c r="D65" s="25"/>
      <c r="E65" s="11"/>
      <c r="F65" s="11" t="s">
        <v>268</v>
      </c>
      <c r="G65" s="11" t="s">
        <v>689</v>
      </c>
      <c r="H65" s="10" t="s">
        <v>355</v>
      </c>
      <c r="I65" s="10" t="s">
        <v>793</v>
      </c>
      <c r="J65" s="11" t="s">
        <v>799</v>
      </c>
      <c r="K65" s="11"/>
      <c r="L65" s="11"/>
    </row>
    <row r="66" spans="2:12" x14ac:dyDescent="0.3">
      <c r="B66" s="10">
        <v>64</v>
      </c>
      <c r="C66" s="25"/>
      <c r="D66" s="25"/>
      <c r="E66" s="11"/>
      <c r="F66" s="11" t="s">
        <v>228</v>
      </c>
      <c r="G66" s="11" t="s">
        <v>631</v>
      </c>
      <c r="H66" s="10" t="s">
        <v>355</v>
      </c>
      <c r="I66" s="10" t="s">
        <v>793</v>
      </c>
      <c r="J66" s="11" t="s">
        <v>799</v>
      </c>
      <c r="K66" s="11"/>
      <c r="L66" s="11"/>
    </row>
    <row r="67" spans="2:12" x14ac:dyDescent="0.3">
      <c r="B67" s="10">
        <v>65</v>
      </c>
      <c r="C67" s="25"/>
      <c r="D67" s="25"/>
      <c r="E67" s="11"/>
      <c r="F67" s="11" t="s">
        <v>247</v>
      </c>
      <c r="G67" s="11" t="s">
        <v>589</v>
      </c>
      <c r="H67" s="10" t="s">
        <v>355</v>
      </c>
      <c r="I67" s="10" t="s">
        <v>793</v>
      </c>
      <c r="J67" s="11" t="s">
        <v>799</v>
      </c>
      <c r="K67" s="11"/>
      <c r="L67" s="11"/>
    </row>
    <row r="68" spans="2:12" x14ac:dyDescent="0.3">
      <c r="B68" s="10">
        <v>66</v>
      </c>
      <c r="C68" s="25"/>
      <c r="D68" s="25"/>
      <c r="E68" s="11"/>
      <c r="F68" s="11" t="s">
        <v>457</v>
      </c>
      <c r="G68" s="11" t="s">
        <v>648</v>
      </c>
      <c r="H68" s="10" t="s">
        <v>355</v>
      </c>
      <c r="I68" s="10" t="s">
        <v>793</v>
      </c>
      <c r="J68" s="11" t="s">
        <v>799</v>
      </c>
      <c r="K68" s="11"/>
      <c r="L68" s="11"/>
    </row>
    <row r="69" spans="2:12" x14ac:dyDescent="0.3">
      <c r="B69" s="10">
        <v>67</v>
      </c>
      <c r="C69" s="25"/>
      <c r="D69" s="25"/>
      <c r="E69" s="11"/>
      <c r="F69" s="11" t="s">
        <v>458</v>
      </c>
      <c r="G69" s="11" t="s">
        <v>456</v>
      </c>
      <c r="H69" s="10" t="s">
        <v>355</v>
      </c>
      <c r="I69" s="10" t="s">
        <v>793</v>
      </c>
      <c r="J69" s="11" t="s">
        <v>799</v>
      </c>
      <c r="K69" s="11"/>
      <c r="L69" s="11"/>
    </row>
    <row r="70" spans="2:12" x14ac:dyDescent="0.3">
      <c r="B70" s="10">
        <v>68</v>
      </c>
      <c r="C70" s="25"/>
      <c r="D70" s="25"/>
      <c r="E70" s="11"/>
      <c r="F70" s="11" t="s">
        <v>208</v>
      </c>
      <c r="G70" s="11" t="s">
        <v>684</v>
      </c>
      <c r="H70" s="10" t="s">
        <v>355</v>
      </c>
      <c r="I70" s="10" t="s">
        <v>793</v>
      </c>
      <c r="J70" s="11" t="s">
        <v>799</v>
      </c>
      <c r="K70" s="11"/>
      <c r="L70" s="11"/>
    </row>
    <row r="71" spans="2:12" x14ac:dyDescent="0.3">
      <c r="B71" s="10">
        <v>69</v>
      </c>
      <c r="C71" s="25"/>
      <c r="D71" s="25"/>
      <c r="E71" s="11"/>
      <c r="F71" s="11" t="s">
        <v>235</v>
      </c>
      <c r="G71" s="11" t="s">
        <v>687</v>
      </c>
      <c r="H71" s="10" t="s">
        <v>355</v>
      </c>
      <c r="I71" s="10" t="s">
        <v>793</v>
      </c>
      <c r="J71" s="11" t="s">
        <v>799</v>
      </c>
      <c r="K71" s="11"/>
      <c r="L71" s="11"/>
    </row>
    <row r="72" spans="2:12" x14ac:dyDescent="0.3">
      <c r="B72" s="10">
        <v>70</v>
      </c>
      <c r="C72" s="25"/>
      <c r="D72" s="25"/>
      <c r="E72" s="11"/>
      <c r="F72" s="11" t="s">
        <v>239</v>
      </c>
      <c r="G72" s="11" t="s">
        <v>748</v>
      </c>
      <c r="H72" s="10" t="s">
        <v>355</v>
      </c>
      <c r="I72" s="10" t="s">
        <v>793</v>
      </c>
      <c r="J72" s="11" t="s">
        <v>799</v>
      </c>
      <c r="K72" s="11"/>
      <c r="L72" s="11"/>
    </row>
    <row r="73" spans="2:12" x14ac:dyDescent="0.3">
      <c r="B73" s="10">
        <v>71</v>
      </c>
      <c r="C73" s="25"/>
      <c r="D73" s="25"/>
      <c r="E73" s="11"/>
      <c r="F73" s="11" t="s">
        <v>93</v>
      </c>
      <c r="G73" s="11" t="s">
        <v>671</v>
      </c>
      <c r="H73" s="10" t="s">
        <v>355</v>
      </c>
      <c r="I73" s="10" t="s">
        <v>793</v>
      </c>
      <c r="J73" s="11" t="s">
        <v>799</v>
      </c>
      <c r="K73" s="11"/>
      <c r="L73" s="11"/>
    </row>
    <row r="74" spans="2:12" x14ac:dyDescent="0.3">
      <c r="B74" s="10">
        <v>72</v>
      </c>
      <c r="C74" s="25"/>
      <c r="D74" s="25"/>
      <c r="E74" s="11"/>
      <c r="F74" s="11" t="s">
        <v>753</v>
      </c>
      <c r="G74" s="11" t="s">
        <v>723</v>
      </c>
      <c r="H74" s="10" t="s">
        <v>355</v>
      </c>
      <c r="I74" s="10" t="s">
        <v>793</v>
      </c>
      <c r="J74" s="11" t="s">
        <v>799</v>
      </c>
      <c r="K74" s="11"/>
      <c r="L74" s="11"/>
    </row>
    <row r="75" spans="2:12" x14ac:dyDescent="0.3">
      <c r="B75" s="10">
        <v>73</v>
      </c>
      <c r="C75" s="25"/>
      <c r="D75" s="25" t="s">
        <v>317</v>
      </c>
      <c r="E75" s="11"/>
      <c r="F75" s="11" t="s">
        <v>316</v>
      </c>
      <c r="G75" s="11" t="s">
        <v>785</v>
      </c>
      <c r="H75" s="10" t="s">
        <v>355</v>
      </c>
      <c r="I75" s="10" t="s">
        <v>793</v>
      </c>
      <c r="J75" s="11" t="s">
        <v>799</v>
      </c>
      <c r="K75" s="11"/>
      <c r="L75" s="11"/>
    </row>
    <row r="76" spans="2:12" x14ac:dyDescent="0.3">
      <c r="B76" s="10">
        <v>74</v>
      </c>
      <c r="C76" s="25"/>
      <c r="D76" s="25"/>
      <c r="E76" s="11"/>
      <c r="F76" s="11" t="s">
        <v>767</v>
      </c>
      <c r="G76" s="11" t="s">
        <v>326</v>
      </c>
      <c r="H76" s="10" t="s">
        <v>355</v>
      </c>
      <c r="I76" s="10" t="s">
        <v>793</v>
      </c>
      <c r="J76" s="11" t="s">
        <v>799</v>
      </c>
      <c r="K76" s="11"/>
      <c r="L76" s="11"/>
    </row>
    <row r="77" spans="2:12" x14ac:dyDescent="0.3">
      <c r="B77" s="10">
        <v>75</v>
      </c>
      <c r="C77" s="25"/>
      <c r="D77" s="25"/>
      <c r="E77" s="11"/>
      <c r="F77" s="11" t="s">
        <v>549</v>
      </c>
      <c r="G77" s="11" t="s">
        <v>312</v>
      </c>
      <c r="H77" s="10" t="s">
        <v>355</v>
      </c>
      <c r="I77" s="10" t="s">
        <v>793</v>
      </c>
      <c r="J77" s="11" t="s">
        <v>799</v>
      </c>
      <c r="K77" s="11"/>
      <c r="L77" s="11"/>
    </row>
    <row r="78" spans="2:12" x14ac:dyDescent="0.3">
      <c r="B78" s="10">
        <v>76</v>
      </c>
      <c r="C78" s="25" t="s">
        <v>325</v>
      </c>
      <c r="D78" s="25" t="s">
        <v>79</v>
      </c>
      <c r="E78" s="11"/>
      <c r="F78" s="11" t="s">
        <v>221</v>
      </c>
      <c r="G78" s="11" t="s">
        <v>780</v>
      </c>
      <c r="H78" s="10" t="s">
        <v>355</v>
      </c>
      <c r="I78" s="10" t="s">
        <v>793</v>
      </c>
      <c r="J78" s="11" t="s">
        <v>799</v>
      </c>
      <c r="K78" s="11"/>
      <c r="L78" s="11"/>
    </row>
    <row r="79" spans="2:12" x14ac:dyDescent="0.3">
      <c r="B79" s="10">
        <v>77</v>
      </c>
      <c r="C79" s="25"/>
      <c r="D79" s="25"/>
      <c r="E79" s="11"/>
      <c r="F79" s="11" t="s">
        <v>739</v>
      </c>
      <c r="G79" s="11" t="s">
        <v>279</v>
      </c>
      <c r="H79" s="10" t="s">
        <v>355</v>
      </c>
      <c r="I79" s="10" t="s">
        <v>793</v>
      </c>
      <c r="J79" s="11" t="s">
        <v>799</v>
      </c>
      <c r="K79" s="11"/>
      <c r="L79" s="11"/>
    </row>
    <row r="80" spans="2:12" x14ac:dyDescent="0.3">
      <c r="B80" s="10">
        <v>78</v>
      </c>
      <c r="C80" s="25"/>
      <c r="D80" s="25" t="s">
        <v>337</v>
      </c>
      <c r="E80" s="11"/>
      <c r="F80" s="11" t="s">
        <v>761</v>
      </c>
      <c r="G80" s="11" t="s">
        <v>449</v>
      </c>
      <c r="H80" s="10" t="s">
        <v>355</v>
      </c>
      <c r="I80" s="10" t="s">
        <v>793</v>
      </c>
      <c r="J80" s="11" t="s">
        <v>799</v>
      </c>
      <c r="K80" s="11"/>
      <c r="L80" s="11"/>
    </row>
    <row r="81" spans="2:12" x14ac:dyDescent="0.3">
      <c r="B81" s="10">
        <v>79</v>
      </c>
      <c r="C81" s="25"/>
      <c r="D81" s="25"/>
      <c r="E81" s="11"/>
      <c r="F81" s="11" t="s">
        <v>208</v>
      </c>
      <c r="G81" s="11" t="s">
        <v>684</v>
      </c>
      <c r="H81" s="10" t="s">
        <v>355</v>
      </c>
      <c r="I81" s="10" t="s">
        <v>793</v>
      </c>
      <c r="J81" s="11" t="s">
        <v>799</v>
      </c>
      <c r="K81" s="11"/>
      <c r="L81" s="11"/>
    </row>
    <row r="82" spans="2:12" x14ac:dyDescent="0.3">
      <c r="B82" s="10">
        <v>80</v>
      </c>
      <c r="C82" s="25"/>
      <c r="D82" s="25"/>
      <c r="E82" s="11"/>
      <c r="F82" s="11" t="s">
        <v>754</v>
      </c>
      <c r="G82" s="11" t="s">
        <v>784</v>
      </c>
      <c r="H82" s="10" t="s">
        <v>355</v>
      </c>
      <c r="I82" s="10" t="s">
        <v>793</v>
      </c>
      <c r="J82" s="11" t="s">
        <v>799</v>
      </c>
      <c r="K82" s="11"/>
      <c r="L82" s="11"/>
    </row>
    <row r="83" spans="2:12" x14ac:dyDescent="0.3">
      <c r="B83" s="10">
        <v>81</v>
      </c>
      <c r="C83" s="25"/>
      <c r="D83" s="25"/>
      <c r="E83" s="11" t="s">
        <v>114</v>
      </c>
      <c r="F83" s="11" t="s">
        <v>254</v>
      </c>
      <c r="G83" s="11" t="s">
        <v>146</v>
      </c>
      <c r="H83" s="10" t="s">
        <v>355</v>
      </c>
      <c r="I83" s="10" t="s">
        <v>793</v>
      </c>
      <c r="J83" s="11" t="s">
        <v>799</v>
      </c>
      <c r="K83" s="11"/>
      <c r="L83" s="11"/>
    </row>
    <row r="84" spans="2:12" x14ac:dyDescent="0.3">
      <c r="B84" s="10">
        <v>82</v>
      </c>
      <c r="C84" s="25"/>
      <c r="D84" s="25"/>
      <c r="E84" s="11" t="s">
        <v>576</v>
      </c>
      <c r="F84" s="11" t="s">
        <v>286</v>
      </c>
      <c r="G84" s="11" t="s">
        <v>197</v>
      </c>
      <c r="H84" s="10" t="s">
        <v>355</v>
      </c>
      <c r="I84" s="10" t="s">
        <v>793</v>
      </c>
      <c r="J84" s="11" t="s">
        <v>799</v>
      </c>
      <c r="K84" s="11"/>
      <c r="L84" s="11"/>
    </row>
    <row r="85" spans="2:12" x14ac:dyDescent="0.3">
      <c r="B85" s="10">
        <v>83</v>
      </c>
      <c r="C85" s="25"/>
      <c r="D85" s="25"/>
      <c r="E85" s="11" t="s">
        <v>257</v>
      </c>
      <c r="F85" s="11" t="s">
        <v>86</v>
      </c>
      <c r="G85" s="11" t="s">
        <v>650</v>
      </c>
      <c r="H85" s="10" t="s">
        <v>355</v>
      </c>
      <c r="I85" s="10" t="s">
        <v>793</v>
      </c>
      <c r="J85" s="11" t="s">
        <v>799</v>
      </c>
      <c r="K85" s="11"/>
      <c r="L85" s="11"/>
    </row>
    <row r="86" spans="2:12" x14ac:dyDescent="0.3">
      <c r="B86" s="10">
        <v>84</v>
      </c>
      <c r="C86" s="25"/>
      <c r="D86" s="25"/>
      <c r="E86" s="11"/>
      <c r="F86" s="11" t="s">
        <v>776</v>
      </c>
      <c r="G86" s="11" t="s">
        <v>745</v>
      </c>
      <c r="H86" s="10" t="s">
        <v>355</v>
      </c>
      <c r="I86" s="10" t="s">
        <v>793</v>
      </c>
      <c r="J86" s="11" t="s">
        <v>799</v>
      </c>
      <c r="K86" s="11"/>
      <c r="L86" s="11"/>
    </row>
    <row r="87" spans="2:12" x14ac:dyDescent="0.3">
      <c r="B87" s="10">
        <v>85</v>
      </c>
      <c r="C87" s="25"/>
      <c r="D87" s="25"/>
      <c r="E87" s="11"/>
      <c r="F87" s="11" t="s">
        <v>318</v>
      </c>
      <c r="G87" s="11" t="s">
        <v>742</v>
      </c>
      <c r="H87" s="10" t="s">
        <v>355</v>
      </c>
      <c r="I87" s="10" t="s">
        <v>793</v>
      </c>
      <c r="J87" s="11" t="s">
        <v>799</v>
      </c>
      <c r="K87" s="11"/>
      <c r="L87" s="11"/>
    </row>
    <row r="88" spans="2:12" x14ac:dyDescent="0.3">
      <c r="B88" s="10">
        <v>86</v>
      </c>
      <c r="C88" s="25"/>
      <c r="D88" s="25"/>
      <c r="E88" s="11" t="s">
        <v>102</v>
      </c>
      <c r="F88" s="11" t="s">
        <v>550</v>
      </c>
      <c r="G88" s="11" t="s">
        <v>238</v>
      </c>
      <c r="H88" s="10" t="s">
        <v>355</v>
      </c>
      <c r="I88" s="10" t="s">
        <v>793</v>
      </c>
      <c r="J88" s="11" t="s">
        <v>799</v>
      </c>
      <c r="K88" s="11"/>
      <c r="L88" s="11"/>
    </row>
    <row r="89" spans="2:12" x14ac:dyDescent="0.3">
      <c r="B89" s="10">
        <v>87</v>
      </c>
      <c r="C89" s="25"/>
      <c r="D89" s="25"/>
      <c r="E89" s="24" t="s">
        <v>131</v>
      </c>
      <c r="F89" s="11" t="s">
        <v>779</v>
      </c>
      <c r="G89" s="11" t="s">
        <v>272</v>
      </c>
      <c r="H89" s="10" t="s">
        <v>355</v>
      </c>
      <c r="I89" s="10" t="s">
        <v>793</v>
      </c>
      <c r="J89" s="11" t="s">
        <v>799</v>
      </c>
      <c r="K89" s="11"/>
      <c r="L89" s="11"/>
    </row>
    <row r="90" spans="2:12" x14ac:dyDescent="0.3">
      <c r="B90" s="10">
        <v>88</v>
      </c>
      <c r="C90" s="25"/>
      <c r="D90" s="25"/>
      <c r="E90" s="24"/>
      <c r="F90" s="11" t="s">
        <v>775</v>
      </c>
      <c r="G90" s="11" t="s">
        <v>759</v>
      </c>
      <c r="H90" s="10" t="s">
        <v>355</v>
      </c>
      <c r="I90" s="10" t="s">
        <v>793</v>
      </c>
      <c r="J90" s="11" t="s">
        <v>799</v>
      </c>
      <c r="K90" s="11"/>
      <c r="L90" s="11"/>
    </row>
    <row r="91" spans="2:12" x14ac:dyDescent="0.3">
      <c r="B91" s="10">
        <v>89</v>
      </c>
      <c r="C91" s="25" t="s">
        <v>327</v>
      </c>
      <c r="D91" s="25" t="s">
        <v>79</v>
      </c>
      <c r="E91" s="11"/>
      <c r="F91" s="11" t="s">
        <v>221</v>
      </c>
      <c r="G91" s="11" t="s">
        <v>780</v>
      </c>
      <c r="H91" s="10" t="s">
        <v>355</v>
      </c>
      <c r="I91" s="10" t="s">
        <v>793</v>
      </c>
      <c r="J91" s="11" t="s">
        <v>799</v>
      </c>
      <c r="K91" s="11"/>
      <c r="L91" s="11"/>
    </row>
    <row r="92" spans="2:12" x14ac:dyDescent="0.3">
      <c r="B92" s="10">
        <v>90</v>
      </c>
      <c r="C92" s="25"/>
      <c r="D92" s="25"/>
      <c r="E92" s="11"/>
      <c r="F92" s="11" t="s">
        <v>511</v>
      </c>
      <c r="G92" s="11" t="s">
        <v>533</v>
      </c>
      <c r="H92" s="10" t="s">
        <v>355</v>
      </c>
      <c r="I92" s="10" t="s">
        <v>793</v>
      </c>
      <c r="J92" s="11" t="s">
        <v>799</v>
      </c>
      <c r="K92" s="11"/>
      <c r="L92" s="11"/>
    </row>
    <row r="93" spans="2:12" x14ac:dyDescent="0.3">
      <c r="B93" s="10">
        <v>91</v>
      </c>
      <c r="C93" s="25"/>
      <c r="D93" s="25"/>
      <c r="E93" s="11"/>
      <c r="F93" s="11" t="s">
        <v>646</v>
      </c>
      <c r="G93" s="11" t="s">
        <v>695</v>
      </c>
      <c r="H93" s="10" t="s">
        <v>355</v>
      </c>
      <c r="I93" s="10" t="s">
        <v>793</v>
      </c>
      <c r="J93" s="11" t="s">
        <v>799</v>
      </c>
      <c r="K93" s="11"/>
      <c r="L93" s="11"/>
    </row>
    <row r="94" spans="2:12" x14ac:dyDescent="0.3">
      <c r="B94" s="10">
        <v>92</v>
      </c>
      <c r="C94" s="25"/>
      <c r="D94" s="25"/>
      <c r="E94" s="11" t="s">
        <v>159</v>
      </c>
      <c r="F94" s="11" t="s">
        <v>450</v>
      </c>
      <c r="G94" s="11" t="s">
        <v>653</v>
      </c>
      <c r="H94" s="10" t="s">
        <v>355</v>
      </c>
      <c r="I94" s="10" t="s">
        <v>793</v>
      </c>
      <c r="J94" s="11" t="s">
        <v>799</v>
      </c>
      <c r="K94" s="11"/>
      <c r="L94" s="11"/>
    </row>
    <row r="95" spans="2:12" x14ac:dyDescent="0.3">
      <c r="B95" s="10">
        <v>93</v>
      </c>
      <c r="C95" s="25"/>
      <c r="D95" s="25"/>
      <c r="E95" s="11" t="s">
        <v>149</v>
      </c>
      <c r="F95" s="11" t="s">
        <v>450</v>
      </c>
      <c r="G95" s="11" t="s">
        <v>663</v>
      </c>
      <c r="H95" s="10" t="s">
        <v>355</v>
      </c>
      <c r="I95" s="10" t="s">
        <v>793</v>
      </c>
      <c r="J95" s="11" t="s">
        <v>799</v>
      </c>
      <c r="K95" s="11"/>
      <c r="L95" s="11"/>
    </row>
    <row r="96" spans="2:12" x14ac:dyDescent="0.3">
      <c r="B96" s="10">
        <v>94</v>
      </c>
      <c r="C96" s="25"/>
      <c r="D96" s="25"/>
      <c r="E96" s="11"/>
      <c r="F96" s="11" t="s">
        <v>553</v>
      </c>
      <c r="G96" s="11" t="s">
        <v>782</v>
      </c>
      <c r="H96" s="10" t="s">
        <v>355</v>
      </c>
      <c r="I96" s="10" t="s">
        <v>793</v>
      </c>
      <c r="J96" s="11" t="s">
        <v>799</v>
      </c>
      <c r="K96" s="11"/>
      <c r="L96" s="11"/>
    </row>
    <row r="97" spans="2:12" x14ac:dyDescent="0.3">
      <c r="B97" s="10">
        <v>95</v>
      </c>
      <c r="C97" s="25"/>
      <c r="D97" s="25"/>
      <c r="E97" s="11"/>
      <c r="F97" s="11" t="s">
        <v>245</v>
      </c>
      <c r="G97" s="11" t="s">
        <v>258</v>
      </c>
      <c r="H97" s="10" t="s">
        <v>355</v>
      </c>
      <c r="I97" s="10" t="s">
        <v>793</v>
      </c>
      <c r="J97" s="11" t="s">
        <v>799</v>
      </c>
      <c r="K97" s="11"/>
      <c r="L97" s="11"/>
    </row>
    <row r="98" spans="2:12" x14ac:dyDescent="0.3">
      <c r="B98" s="10">
        <v>96</v>
      </c>
      <c r="C98" s="25"/>
      <c r="D98" s="25" t="s">
        <v>340</v>
      </c>
      <c r="E98" s="11"/>
      <c r="F98" s="11" t="s">
        <v>777</v>
      </c>
      <c r="G98" s="11" t="s">
        <v>260</v>
      </c>
      <c r="H98" s="10" t="s">
        <v>355</v>
      </c>
      <c r="I98" s="10" t="s">
        <v>793</v>
      </c>
      <c r="J98" s="11" t="s">
        <v>799</v>
      </c>
      <c r="K98" s="11"/>
      <c r="L98" s="11"/>
    </row>
    <row r="99" spans="2:12" x14ac:dyDescent="0.3">
      <c r="B99" s="10">
        <v>97</v>
      </c>
      <c r="C99" s="25"/>
      <c r="D99" s="25"/>
      <c r="E99" s="24" t="s">
        <v>123</v>
      </c>
      <c r="F99" s="11" t="s">
        <v>211</v>
      </c>
      <c r="G99" s="11" t="s">
        <v>211</v>
      </c>
      <c r="H99" s="10" t="s">
        <v>355</v>
      </c>
      <c r="I99" s="10" t="s">
        <v>793</v>
      </c>
      <c r="J99" s="11" t="s">
        <v>799</v>
      </c>
      <c r="K99" s="11"/>
      <c r="L99" s="11"/>
    </row>
    <row r="100" spans="2:12" x14ac:dyDescent="0.3">
      <c r="B100" s="10">
        <v>98</v>
      </c>
      <c r="C100" s="25"/>
      <c r="D100" s="25"/>
      <c r="E100" s="24"/>
      <c r="F100" s="11" t="s">
        <v>777</v>
      </c>
      <c r="G100" s="11" t="s">
        <v>132</v>
      </c>
      <c r="H100" s="10" t="s">
        <v>355</v>
      </c>
      <c r="I100" s="10" t="s">
        <v>793</v>
      </c>
      <c r="J100" s="11" t="s">
        <v>799</v>
      </c>
      <c r="K100" s="11"/>
      <c r="L100" s="11"/>
    </row>
    <row r="101" spans="2:12" x14ac:dyDescent="0.3">
      <c r="B101" s="10">
        <v>99</v>
      </c>
      <c r="C101" s="25"/>
      <c r="D101" s="25"/>
      <c r="E101" s="11" t="s">
        <v>101</v>
      </c>
      <c r="F101" s="11" t="s">
        <v>241</v>
      </c>
      <c r="G101" s="11" t="s">
        <v>643</v>
      </c>
      <c r="H101" s="10" t="s">
        <v>355</v>
      </c>
      <c r="I101" s="10" t="s">
        <v>793</v>
      </c>
      <c r="J101" s="11" t="s">
        <v>799</v>
      </c>
      <c r="K101" s="11"/>
      <c r="L101" s="11"/>
    </row>
    <row r="102" spans="2:12" x14ac:dyDescent="0.3">
      <c r="B102" s="10">
        <v>100</v>
      </c>
      <c r="C102" s="25"/>
      <c r="D102" s="25"/>
      <c r="E102" s="24" t="s">
        <v>565</v>
      </c>
      <c r="F102" s="11" t="s">
        <v>639</v>
      </c>
      <c r="G102" s="11" t="s">
        <v>629</v>
      </c>
      <c r="H102" s="10" t="s">
        <v>355</v>
      </c>
      <c r="I102" s="10" t="s">
        <v>793</v>
      </c>
      <c r="J102" s="11" t="s">
        <v>799</v>
      </c>
      <c r="K102" s="11"/>
      <c r="L102" s="11"/>
    </row>
    <row r="103" spans="2:12" x14ac:dyDescent="0.3">
      <c r="B103" s="10">
        <v>101</v>
      </c>
      <c r="C103" s="25"/>
      <c r="D103" s="25"/>
      <c r="E103" s="24"/>
      <c r="F103" s="11" t="s">
        <v>495</v>
      </c>
      <c r="G103" s="11" t="s">
        <v>684</v>
      </c>
      <c r="H103" s="10" t="s">
        <v>355</v>
      </c>
      <c r="I103" s="10" t="s">
        <v>793</v>
      </c>
      <c r="J103" s="11" t="s">
        <v>799</v>
      </c>
      <c r="K103" s="11"/>
      <c r="L103" s="11"/>
    </row>
    <row r="104" spans="2:12" x14ac:dyDescent="0.3">
      <c r="B104" s="10">
        <v>102</v>
      </c>
      <c r="C104" s="25"/>
      <c r="D104" s="25"/>
      <c r="E104" s="11"/>
      <c r="F104" s="11" t="s">
        <v>126</v>
      </c>
      <c r="G104" s="11" t="s">
        <v>151</v>
      </c>
      <c r="H104" s="10" t="s">
        <v>355</v>
      </c>
      <c r="I104" s="10" t="s">
        <v>793</v>
      </c>
      <c r="J104" s="11" t="s">
        <v>799</v>
      </c>
      <c r="K104" s="11"/>
      <c r="L104" s="11"/>
    </row>
    <row r="105" spans="2:12" ht="24" x14ac:dyDescent="0.3">
      <c r="B105" s="10">
        <v>103</v>
      </c>
      <c r="C105" s="25"/>
      <c r="D105" s="25"/>
      <c r="E105" s="11" t="s">
        <v>498</v>
      </c>
      <c r="F105" s="11" t="s">
        <v>243</v>
      </c>
      <c r="G105" s="11" t="s">
        <v>582</v>
      </c>
      <c r="H105" s="10" t="s">
        <v>355</v>
      </c>
      <c r="I105" s="10" t="s">
        <v>793</v>
      </c>
      <c r="J105" s="11" t="s">
        <v>799</v>
      </c>
      <c r="K105" s="11"/>
      <c r="L105" s="11"/>
    </row>
    <row r="106" spans="2:12" ht="36" x14ac:dyDescent="0.3">
      <c r="B106" s="10">
        <v>104</v>
      </c>
      <c r="C106" s="25"/>
      <c r="D106" s="25"/>
      <c r="E106" s="11" t="s">
        <v>425</v>
      </c>
      <c r="F106" s="11" t="s">
        <v>187</v>
      </c>
      <c r="G106" s="11" t="s">
        <v>87</v>
      </c>
      <c r="H106" s="10" t="s">
        <v>355</v>
      </c>
      <c r="I106" s="10" t="s">
        <v>793</v>
      </c>
      <c r="J106" s="11" t="s">
        <v>799</v>
      </c>
      <c r="K106" s="11"/>
      <c r="L106" s="11"/>
    </row>
    <row r="107" spans="2:12" x14ac:dyDescent="0.3">
      <c r="B107" s="10">
        <v>105</v>
      </c>
      <c r="C107" s="25"/>
      <c r="D107" s="25"/>
      <c r="E107" s="11" t="s">
        <v>149</v>
      </c>
      <c r="F107" s="11" t="s">
        <v>686</v>
      </c>
      <c r="G107" s="11" t="s">
        <v>570</v>
      </c>
      <c r="H107" s="10" t="s">
        <v>355</v>
      </c>
      <c r="I107" s="10" t="s">
        <v>793</v>
      </c>
      <c r="J107" s="11" t="s">
        <v>799</v>
      </c>
      <c r="K107" s="11"/>
      <c r="L107" s="11"/>
    </row>
    <row r="108" spans="2:12" x14ac:dyDescent="0.3">
      <c r="B108" s="10">
        <v>106</v>
      </c>
      <c r="C108" s="25"/>
      <c r="D108" s="25"/>
      <c r="E108" s="11"/>
      <c r="F108" s="11" t="s">
        <v>677</v>
      </c>
      <c r="G108" s="11" t="s">
        <v>652</v>
      </c>
      <c r="H108" s="10" t="s">
        <v>355</v>
      </c>
      <c r="I108" s="10" t="s">
        <v>793</v>
      </c>
      <c r="J108" s="11" t="s">
        <v>799</v>
      </c>
      <c r="K108" s="11"/>
      <c r="L108" s="11"/>
    </row>
    <row r="109" spans="2:12" x14ac:dyDescent="0.3">
      <c r="B109" s="10">
        <v>107</v>
      </c>
      <c r="C109" s="25"/>
      <c r="D109" s="25"/>
      <c r="E109" s="11"/>
      <c r="F109" s="11" t="s">
        <v>656</v>
      </c>
      <c r="G109" s="11" t="s">
        <v>100</v>
      </c>
      <c r="H109" s="10" t="s">
        <v>355</v>
      </c>
      <c r="I109" s="10" t="s">
        <v>793</v>
      </c>
      <c r="J109" s="11" t="s">
        <v>799</v>
      </c>
      <c r="K109" s="11"/>
      <c r="L109" s="11"/>
    </row>
    <row r="110" spans="2:12" x14ac:dyDescent="0.3">
      <c r="B110" s="10">
        <v>108</v>
      </c>
      <c r="C110" s="25"/>
      <c r="D110" s="25"/>
      <c r="E110" s="11"/>
      <c r="F110" s="11" t="s">
        <v>273</v>
      </c>
      <c r="G110" s="11" t="s">
        <v>741</v>
      </c>
      <c r="H110" s="10" t="s">
        <v>355</v>
      </c>
      <c r="I110" s="10" t="s">
        <v>793</v>
      </c>
      <c r="J110" s="11" t="s">
        <v>799</v>
      </c>
      <c r="K110" s="11"/>
      <c r="L110" s="11"/>
    </row>
    <row r="111" spans="2:12" x14ac:dyDescent="0.3">
      <c r="B111" s="10">
        <v>109</v>
      </c>
      <c r="C111" s="25"/>
      <c r="D111" s="25" t="s">
        <v>278</v>
      </c>
      <c r="E111" s="11"/>
      <c r="F111" s="11" t="s">
        <v>665</v>
      </c>
      <c r="G111" s="11" t="s">
        <v>674</v>
      </c>
      <c r="H111" s="10" t="s">
        <v>355</v>
      </c>
      <c r="I111" s="10" t="s">
        <v>793</v>
      </c>
      <c r="J111" s="11" t="s">
        <v>799</v>
      </c>
      <c r="K111" s="11"/>
      <c r="L111" s="11"/>
    </row>
    <row r="112" spans="2:12" x14ac:dyDescent="0.3">
      <c r="B112" s="10">
        <v>110</v>
      </c>
      <c r="C112" s="25"/>
      <c r="D112" s="25"/>
      <c r="E112" s="11"/>
      <c r="F112" s="11" t="s">
        <v>112</v>
      </c>
      <c r="G112" s="11" t="s">
        <v>100</v>
      </c>
      <c r="H112" s="10" t="s">
        <v>355</v>
      </c>
      <c r="I112" s="10" t="s">
        <v>793</v>
      </c>
      <c r="J112" s="11" t="s">
        <v>799</v>
      </c>
      <c r="K112" s="11"/>
      <c r="L112" s="11"/>
    </row>
    <row r="113" spans="2:12" x14ac:dyDescent="0.3">
      <c r="B113" s="10">
        <v>111</v>
      </c>
      <c r="C113" s="25"/>
      <c r="D113" s="25"/>
      <c r="E113" s="11"/>
      <c r="F113" s="11" t="s">
        <v>128</v>
      </c>
      <c r="G113" s="11" t="s">
        <v>655</v>
      </c>
      <c r="H113" s="10" t="s">
        <v>355</v>
      </c>
      <c r="I113" s="10" t="s">
        <v>793</v>
      </c>
      <c r="J113" s="11" t="s">
        <v>799</v>
      </c>
      <c r="K113" s="11"/>
      <c r="L113" s="11"/>
    </row>
    <row r="114" spans="2:12" x14ac:dyDescent="0.3">
      <c r="B114" s="10">
        <v>112</v>
      </c>
      <c r="C114" s="25"/>
      <c r="D114" s="25"/>
      <c r="E114" s="11"/>
      <c r="F114" s="11" t="s">
        <v>610</v>
      </c>
      <c r="G114" s="11" t="s">
        <v>652</v>
      </c>
      <c r="H114" s="10" t="s">
        <v>355</v>
      </c>
      <c r="I114" s="10" t="s">
        <v>793</v>
      </c>
      <c r="J114" s="11" t="s">
        <v>799</v>
      </c>
      <c r="K114" s="11"/>
      <c r="L114" s="11"/>
    </row>
    <row r="115" spans="2:12" x14ac:dyDescent="0.3">
      <c r="B115" s="10">
        <v>113</v>
      </c>
      <c r="C115" s="25"/>
      <c r="D115" s="25"/>
      <c r="E115" s="11"/>
      <c r="F115" s="11" t="s">
        <v>627</v>
      </c>
      <c r="G115" s="11" t="s">
        <v>161</v>
      </c>
      <c r="H115" s="10" t="s">
        <v>355</v>
      </c>
      <c r="I115" s="10" t="s">
        <v>793</v>
      </c>
      <c r="J115" s="11" t="s">
        <v>799</v>
      </c>
      <c r="K115" s="11"/>
      <c r="L115" s="11"/>
    </row>
    <row r="116" spans="2:12" x14ac:dyDescent="0.3">
      <c r="B116" s="10">
        <v>114</v>
      </c>
      <c r="C116" s="25"/>
      <c r="D116" s="25"/>
      <c r="E116" s="11"/>
      <c r="F116" s="11" t="s">
        <v>125</v>
      </c>
      <c r="G116" s="11" t="s">
        <v>569</v>
      </c>
      <c r="H116" s="10" t="s">
        <v>355</v>
      </c>
      <c r="I116" s="10" t="s">
        <v>793</v>
      </c>
      <c r="J116" s="11" t="s">
        <v>799</v>
      </c>
      <c r="K116" s="11"/>
      <c r="L116" s="11"/>
    </row>
    <row r="117" spans="2:12" x14ac:dyDescent="0.3">
      <c r="B117" s="10">
        <v>115</v>
      </c>
      <c r="C117" s="25"/>
      <c r="D117" s="25"/>
      <c r="E117" s="11"/>
      <c r="F117" s="11" t="s">
        <v>448</v>
      </c>
      <c r="G117" s="11" t="s">
        <v>170</v>
      </c>
      <c r="H117" s="10" t="s">
        <v>355</v>
      </c>
      <c r="I117" s="10" t="s">
        <v>793</v>
      </c>
      <c r="J117" s="11" t="s">
        <v>799</v>
      </c>
      <c r="K117" s="11"/>
      <c r="L117" s="11"/>
    </row>
    <row r="118" spans="2:12" x14ac:dyDescent="0.3">
      <c r="B118" s="10">
        <v>116</v>
      </c>
      <c r="C118" s="25"/>
      <c r="D118" s="25"/>
      <c r="E118" s="11"/>
      <c r="F118" s="11" t="s">
        <v>142</v>
      </c>
      <c r="G118" s="11" t="s">
        <v>621</v>
      </c>
      <c r="H118" s="10" t="s">
        <v>355</v>
      </c>
      <c r="I118" s="10" t="s">
        <v>793</v>
      </c>
      <c r="J118" s="11" t="s">
        <v>799</v>
      </c>
      <c r="K118" s="11"/>
      <c r="L118" s="11"/>
    </row>
    <row r="119" spans="2:12" x14ac:dyDescent="0.3">
      <c r="B119" s="10">
        <v>117</v>
      </c>
      <c r="C119" s="25"/>
      <c r="D119" s="25"/>
      <c r="E119" s="11"/>
      <c r="F119" s="11" t="s">
        <v>757</v>
      </c>
      <c r="G119" s="11" t="s">
        <v>158</v>
      </c>
      <c r="H119" s="10" t="s">
        <v>355</v>
      </c>
      <c r="I119" s="10" t="s">
        <v>793</v>
      </c>
      <c r="J119" s="11" t="s">
        <v>799</v>
      </c>
      <c r="K119" s="11"/>
      <c r="L119" s="11"/>
    </row>
    <row r="120" spans="2:12" x14ac:dyDescent="0.3">
      <c r="B120" s="10">
        <v>118</v>
      </c>
      <c r="C120" s="25"/>
      <c r="D120" s="25"/>
      <c r="E120" s="11"/>
      <c r="F120" s="11" t="s">
        <v>127</v>
      </c>
      <c r="G120" s="11" t="s">
        <v>599</v>
      </c>
      <c r="H120" s="10" t="s">
        <v>355</v>
      </c>
      <c r="I120" s="10" t="s">
        <v>793</v>
      </c>
      <c r="J120" s="11" t="s">
        <v>799</v>
      </c>
      <c r="K120" s="11"/>
      <c r="L120" s="11"/>
    </row>
    <row r="121" spans="2:12" x14ac:dyDescent="0.3">
      <c r="B121" s="10">
        <v>119</v>
      </c>
      <c r="C121" s="25"/>
      <c r="D121" s="25"/>
      <c r="E121" s="11"/>
      <c r="F121" s="11" t="s">
        <v>256</v>
      </c>
      <c r="G121" s="11" t="s">
        <v>209</v>
      </c>
      <c r="H121" s="10" t="s">
        <v>355</v>
      </c>
      <c r="I121" s="10" t="s">
        <v>793</v>
      </c>
      <c r="J121" s="11" t="s">
        <v>799</v>
      </c>
      <c r="K121" s="11"/>
      <c r="L121" s="11"/>
    </row>
    <row r="122" spans="2:12" x14ac:dyDescent="0.3">
      <c r="B122" s="10">
        <v>120</v>
      </c>
      <c r="C122" s="25"/>
      <c r="D122" s="25"/>
      <c r="E122" s="11"/>
      <c r="F122" s="11" t="s">
        <v>145</v>
      </c>
      <c r="G122" s="11" t="s">
        <v>141</v>
      </c>
      <c r="H122" s="10" t="s">
        <v>355</v>
      </c>
      <c r="I122" s="10" t="s">
        <v>793</v>
      </c>
      <c r="J122" s="11" t="s">
        <v>799</v>
      </c>
      <c r="K122" s="11"/>
      <c r="L122" s="11"/>
    </row>
    <row r="123" spans="2:12" x14ac:dyDescent="0.3">
      <c r="B123" s="10">
        <v>121</v>
      </c>
      <c r="C123" s="25"/>
      <c r="D123" s="25"/>
      <c r="E123" s="11"/>
      <c r="F123" s="11" t="s">
        <v>442</v>
      </c>
      <c r="G123" s="11" t="s">
        <v>133</v>
      </c>
      <c r="H123" s="10" t="s">
        <v>355</v>
      </c>
      <c r="I123" s="10" t="s">
        <v>793</v>
      </c>
      <c r="J123" s="11" t="s">
        <v>799</v>
      </c>
      <c r="K123" s="11"/>
      <c r="L123" s="11"/>
    </row>
    <row r="124" spans="2:12" x14ac:dyDescent="0.3">
      <c r="B124" s="10">
        <v>122</v>
      </c>
      <c r="C124" s="25"/>
      <c r="D124" s="25"/>
      <c r="E124" s="11"/>
      <c r="F124" s="11" t="s">
        <v>207</v>
      </c>
      <c r="G124" s="11" t="s">
        <v>136</v>
      </c>
      <c r="H124" s="10" t="s">
        <v>355</v>
      </c>
      <c r="I124" s="10" t="s">
        <v>793</v>
      </c>
      <c r="J124" s="11" t="s">
        <v>799</v>
      </c>
      <c r="K124" s="11"/>
      <c r="L124" s="11"/>
    </row>
    <row r="125" spans="2:12" x14ac:dyDescent="0.3">
      <c r="B125" s="10">
        <v>123</v>
      </c>
      <c r="C125" s="25"/>
      <c r="D125" s="25"/>
      <c r="E125" s="11"/>
      <c r="F125" s="11" t="s">
        <v>738</v>
      </c>
      <c r="G125" s="11" t="s">
        <v>265</v>
      </c>
      <c r="H125" s="10" t="s">
        <v>355</v>
      </c>
      <c r="I125" s="10" t="s">
        <v>793</v>
      </c>
      <c r="J125" s="11" t="s">
        <v>799</v>
      </c>
      <c r="K125" s="11"/>
      <c r="L125" s="11"/>
    </row>
    <row r="126" spans="2:12" x14ac:dyDescent="0.3">
      <c r="B126" s="10">
        <v>124</v>
      </c>
      <c r="C126" s="25"/>
      <c r="D126" s="25"/>
      <c r="E126" s="11"/>
      <c r="F126" s="11" t="s">
        <v>263</v>
      </c>
      <c r="G126" s="11" t="s">
        <v>134</v>
      </c>
      <c r="H126" s="10" t="s">
        <v>355</v>
      </c>
      <c r="I126" s="10" t="s">
        <v>793</v>
      </c>
      <c r="J126" s="11" t="s">
        <v>799</v>
      </c>
      <c r="K126" s="11"/>
      <c r="L126" s="11"/>
    </row>
    <row r="127" spans="2:12" x14ac:dyDescent="0.3">
      <c r="B127" s="10">
        <v>125</v>
      </c>
      <c r="C127" s="25"/>
      <c r="D127" s="25"/>
      <c r="E127" s="11"/>
      <c r="F127" s="11" t="s">
        <v>756</v>
      </c>
      <c r="G127" s="11" t="s">
        <v>250</v>
      </c>
      <c r="H127" s="10" t="s">
        <v>355</v>
      </c>
      <c r="I127" s="10" t="s">
        <v>793</v>
      </c>
      <c r="J127" s="11" t="s">
        <v>799</v>
      </c>
      <c r="K127" s="11"/>
      <c r="L127" s="11"/>
    </row>
    <row r="128" spans="2:12" x14ac:dyDescent="0.3">
      <c r="B128" s="10">
        <v>126</v>
      </c>
      <c r="C128" s="25"/>
      <c r="D128" s="25"/>
      <c r="E128" s="11"/>
      <c r="F128" s="11" t="s">
        <v>435</v>
      </c>
      <c r="G128" s="11" t="s">
        <v>275</v>
      </c>
      <c r="H128" s="10" t="s">
        <v>355</v>
      </c>
      <c r="I128" s="10" t="s">
        <v>793</v>
      </c>
      <c r="J128" s="11" t="s">
        <v>799</v>
      </c>
      <c r="K128" s="11"/>
      <c r="L128" s="11"/>
    </row>
    <row r="129" spans="2:12" x14ac:dyDescent="0.3">
      <c r="B129" s="10">
        <v>127</v>
      </c>
      <c r="C129" s="25"/>
      <c r="D129" s="25"/>
      <c r="E129" s="11"/>
      <c r="F129" s="11" t="s">
        <v>736</v>
      </c>
      <c r="G129" s="11" t="s">
        <v>107</v>
      </c>
      <c r="H129" s="10" t="s">
        <v>355</v>
      </c>
      <c r="I129" s="10" t="s">
        <v>793</v>
      </c>
      <c r="J129" s="11" t="s">
        <v>799</v>
      </c>
      <c r="K129" s="11"/>
      <c r="L129" s="11"/>
    </row>
    <row r="130" spans="2:12" x14ac:dyDescent="0.3">
      <c r="B130" s="10">
        <v>128</v>
      </c>
      <c r="C130" s="25"/>
      <c r="D130" s="25"/>
      <c r="E130" s="11"/>
      <c r="F130" s="11" t="s">
        <v>162</v>
      </c>
      <c r="G130" s="11" t="s">
        <v>97</v>
      </c>
      <c r="H130" s="10" t="s">
        <v>355</v>
      </c>
      <c r="I130" s="10" t="s">
        <v>793</v>
      </c>
      <c r="J130" s="11" t="s">
        <v>799</v>
      </c>
      <c r="K130" s="11"/>
      <c r="L130" s="11"/>
    </row>
    <row r="131" spans="2:12" x14ac:dyDescent="0.3">
      <c r="B131" s="10">
        <v>129</v>
      </c>
      <c r="C131" s="25"/>
      <c r="D131" s="25"/>
      <c r="E131" s="11"/>
      <c r="F131" s="11" t="s">
        <v>346</v>
      </c>
      <c r="G131" s="11" t="s">
        <v>437</v>
      </c>
      <c r="H131" s="10" t="s">
        <v>355</v>
      </c>
      <c r="I131" s="10" t="s">
        <v>793</v>
      </c>
      <c r="J131" s="11" t="s">
        <v>799</v>
      </c>
      <c r="K131" s="11"/>
      <c r="L131" s="11"/>
    </row>
    <row r="132" spans="2:12" x14ac:dyDescent="0.3">
      <c r="B132" s="10">
        <v>130</v>
      </c>
      <c r="C132" s="25"/>
      <c r="D132" s="25" t="s">
        <v>651</v>
      </c>
      <c r="E132" s="11"/>
      <c r="F132" s="11" t="s">
        <v>221</v>
      </c>
      <c r="G132" s="11" t="s">
        <v>780</v>
      </c>
      <c r="H132" s="10" t="s">
        <v>355</v>
      </c>
      <c r="I132" s="10" t="s">
        <v>793</v>
      </c>
      <c r="J132" s="11" t="s">
        <v>799</v>
      </c>
      <c r="K132" s="11"/>
      <c r="L132" s="11"/>
    </row>
    <row r="133" spans="2:12" x14ac:dyDescent="0.3">
      <c r="B133" s="10">
        <v>131</v>
      </c>
      <c r="C133" s="25"/>
      <c r="D133" s="25"/>
      <c r="E133" s="11"/>
      <c r="F133" s="11" t="s">
        <v>519</v>
      </c>
      <c r="G133" s="11" t="s">
        <v>371</v>
      </c>
      <c r="H133" s="10" t="s">
        <v>355</v>
      </c>
      <c r="I133" s="10" t="s">
        <v>793</v>
      </c>
      <c r="J133" s="11" t="s">
        <v>799</v>
      </c>
      <c r="K133" s="11"/>
      <c r="L133" s="11"/>
    </row>
    <row r="134" spans="2:12" x14ac:dyDescent="0.3">
      <c r="B134" s="10">
        <v>132</v>
      </c>
      <c r="C134" s="25"/>
      <c r="D134" s="25" t="s">
        <v>681</v>
      </c>
      <c r="E134" s="11"/>
      <c r="F134" s="11" t="s">
        <v>546</v>
      </c>
      <c r="G134" s="11" t="s">
        <v>419</v>
      </c>
      <c r="H134" s="10" t="s">
        <v>355</v>
      </c>
      <c r="I134" s="10" t="s">
        <v>793</v>
      </c>
      <c r="J134" s="11" t="s">
        <v>799</v>
      </c>
      <c r="K134" s="11"/>
      <c r="L134" s="11"/>
    </row>
    <row r="135" spans="2:12" x14ac:dyDescent="0.3">
      <c r="B135" s="10">
        <v>133</v>
      </c>
      <c r="C135" s="25"/>
      <c r="D135" s="25"/>
      <c r="E135" s="11"/>
      <c r="F135" s="11" t="s">
        <v>676</v>
      </c>
      <c r="G135" s="11" t="s">
        <v>505</v>
      </c>
      <c r="H135" s="10" t="s">
        <v>355</v>
      </c>
      <c r="I135" s="10" t="s">
        <v>793</v>
      </c>
      <c r="J135" s="11" t="s">
        <v>799</v>
      </c>
      <c r="K135" s="11"/>
      <c r="L135" s="11"/>
    </row>
    <row r="136" spans="2:12" ht="24" x14ac:dyDescent="0.3">
      <c r="B136" s="10">
        <v>134</v>
      </c>
      <c r="C136" s="25"/>
      <c r="D136" s="25"/>
      <c r="E136" s="11"/>
      <c r="F136" s="11" t="s">
        <v>306</v>
      </c>
      <c r="G136" s="11" t="s">
        <v>393</v>
      </c>
      <c r="H136" s="10" t="s">
        <v>355</v>
      </c>
      <c r="I136" s="10" t="s">
        <v>793</v>
      </c>
      <c r="J136" s="11" t="s">
        <v>799</v>
      </c>
      <c r="K136" s="11"/>
      <c r="L136" s="11"/>
    </row>
    <row r="137" spans="2:12" x14ac:dyDescent="0.3">
      <c r="B137" s="10">
        <v>135</v>
      </c>
      <c r="C137" s="25"/>
      <c r="D137" s="25"/>
      <c r="E137" s="11"/>
      <c r="F137" s="11" t="s">
        <v>508</v>
      </c>
      <c r="G137" s="11" t="s">
        <v>413</v>
      </c>
      <c r="H137" s="10" t="s">
        <v>355</v>
      </c>
      <c r="I137" s="10" t="s">
        <v>793</v>
      </c>
      <c r="J137" s="11" t="s">
        <v>799</v>
      </c>
      <c r="K137" s="11"/>
      <c r="L137" s="11"/>
    </row>
    <row r="138" spans="2:12" ht="24" x14ac:dyDescent="0.3">
      <c r="B138" s="10">
        <v>136</v>
      </c>
      <c r="C138" s="25"/>
      <c r="D138" s="25"/>
      <c r="E138" s="11" t="s">
        <v>478</v>
      </c>
      <c r="F138" s="11" t="s">
        <v>56</v>
      </c>
      <c r="G138" s="11" t="s">
        <v>57</v>
      </c>
      <c r="H138" s="10" t="s">
        <v>355</v>
      </c>
      <c r="I138" s="10" t="s">
        <v>793</v>
      </c>
      <c r="J138" s="11" t="s">
        <v>799</v>
      </c>
      <c r="K138" s="11"/>
      <c r="L138" s="11"/>
    </row>
    <row r="139" spans="2:12" ht="24" x14ac:dyDescent="0.3">
      <c r="B139" s="10">
        <v>137</v>
      </c>
      <c r="C139" s="25"/>
      <c r="D139" s="25"/>
      <c r="E139" s="11" t="s">
        <v>476</v>
      </c>
      <c r="F139" s="11" t="s">
        <v>51</v>
      </c>
      <c r="G139" s="11" t="s">
        <v>392</v>
      </c>
      <c r="H139" s="10" t="s">
        <v>355</v>
      </c>
      <c r="I139" s="10" t="s">
        <v>793</v>
      </c>
      <c r="J139" s="11" t="s">
        <v>799</v>
      </c>
      <c r="K139" s="11"/>
      <c r="L139" s="11"/>
    </row>
    <row r="140" spans="2:12" ht="24" x14ac:dyDescent="0.3">
      <c r="B140" s="10">
        <v>138</v>
      </c>
      <c r="C140" s="25"/>
      <c r="D140" s="25"/>
      <c r="E140" s="11" t="s">
        <v>473</v>
      </c>
      <c r="F140" s="11" t="s">
        <v>9</v>
      </c>
      <c r="G140" s="11" t="s">
        <v>50</v>
      </c>
      <c r="H140" s="10" t="s">
        <v>355</v>
      </c>
      <c r="I140" s="10" t="s">
        <v>793</v>
      </c>
      <c r="J140" s="11" t="s">
        <v>799</v>
      </c>
      <c r="K140" s="11"/>
      <c r="L140" s="11"/>
    </row>
    <row r="141" spans="2:12" ht="24" x14ac:dyDescent="0.3">
      <c r="B141" s="10">
        <v>139</v>
      </c>
      <c r="C141" s="25"/>
      <c r="D141" s="25"/>
      <c r="E141" s="11" t="s">
        <v>616</v>
      </c>
      <c r="F141" s="11" t="s">
        <v>472</v>
      </c>
      <c r="G141" s="11" t="s">
        <v>295</v>
      </c>
      <c r="H141" s="10" t="s">
        <v>355</v>
      </c>
      <c r="I141" s="10" t="s">
        <v>793</v>
      </c>
      <c r="J141" s="11" t="s">
        <v>799</v>
      </c>
      <c r="K141" s="11"/>
      <c r="L141" s="11"/>
    </row>
    <row r="142" spans="2:12" ht="24" x14ac:dyDescent="0.3">
      <c r="B142" s="10">
        <v>140</v>
      </c>
      <c r="C142" s="25"/>
      <c r="D142" s="25"/>
      <c r="E142" s="11" t="s">
        <v>619</v>
      </c>
      <c r="F142" s="11" t="s">
        <v>307</v>
      </c>
      <c r="G142" s="11" t="s">
        <v>467</v>
      </c>
      <c r="H142" s="10" t="s">
        <v>355</v>
      </c>
      <c r="I142" s="10" t="s">
        <v>793</v>
      </c>
      <c r="J142" s="11" t="s">
        <v>799</v>
      </c>
      <c r="K142" s="11"/>
      <c r="L142" s="11"/>
    </row>
    <row r="143" spans="2:12" x14ac:dyDescent="0.3">
      <c r="B143" s="10">
        <v>141</v>
      </c>
      <c r="C143" s="25"/>
      <c r="D143" s="25"/>
      <c r="E143" s="11" t="s">
        <v>375</v>
      </c>
      <c r="F143" s="11" t="s">
        <v>116</v>
      </c>
      <c r="G143" s="11" t="s">
        <v>116</v>
      </c>
      <c r="H143" s="10" t="s">
        <v>355</v>
      </c>
      <c r="I143" s="10" t="s">
        <v>793</v>
      </c>
      <c r="J143" s="11" t="s">
        <v>799</v>
      </c>
      <c r="K143" s="11"/>
      <c r="L143" s="11"/>
    </row>
    <row r="144" spans="2:12" ht="24" x14ac:dyDescent="0.3">
      <c r="B144" s="10">
        <v>142</v>
      </c>
      <c r="C144" s="25"/>
      <c r="D144" s="25"/>
      <c r="E144" s="11"/>
      <c r="F144" s="11" t="s">
        <v>532</v>
      </c>
      <c r="G144" s="11" t="s">
        <v>299</v>
      </c>
      <c r="H144" s="10" t="s">
        <v>355</v>
      </c>
      <c r="I144" s="10" t="s">
        <v>793</v>
      </c>
      <c r="J144" s="11" t="s">
        <v>799</v>
      </c>
      <c r="K144" s="11"/>
      <c r="L144" s="11"/>
    </row>
    <row r="145" spans="2:12" x14ac:dyDescent="0.3">
      <c r="B145" s="10">
        <v>143</v>
      </c>
      <c r="C145" s="25"/>
      <c r="D145" s="25" t="s">
        <v>566</v>
      </c>
      <c r="E145" s="11" t="s">
        <v>67</v>
      </c>
      <c r="F145" s="11" t="s">
        <v>271</v>
      </c>
      <c r="G145" s="11" t="s">
        <v>719</v>
      </c>
      <c r="H145" s="10" t="s">
        <v>355</v>
      </c>
      <c r="I145" s="10" t="s">
        <v>793</v>
      </c>
      <c r="J145" s="11" t="s">
        <v>799</v>
      </c>
      <c r="K145" s="11"/>
      <c r="L145" s="11"/>
    </row>
    <row r="146" spans="2:12" x14ac:dyDescent="0.3">
      <c r="B146" s="10">
        <v>144</v>
      </c>
      <c r="C146" s="25"/>
      <c r="D146" s="25"/>
      <c r="E146" s="11" t="s">
        <v>27</v>
      </c>
      <c r="F146" s="11" t="s">
        <v>271</v>
      </c>
      <c r="G146" s="11" t="s">
        <v>615</v>
      </c>
      <c r="H146" s="10" t="s">
        <v>355</v>
      </c>
      <c r="I146" s="10" t="s">
        <v>793</v>
      </c>
      <c r="J146" s="11" t="s">
        <v>799</v>
      </c>
      <c r="K146" s="11"/>
      <c r="L146" s="11"/>
    </row>
    <row r="147" spans="2:12" x14ac:dyDescent="0.3">
      <c r="B147" s="10">
        <v>145</v>
      </c>
      <c r="C147" s="25"/>
      <c r="D147" s="25"/>
      <c r="E147" s="11"/>
      <c r="F147" s="11" t="s">
        <v>246</v>
      </c>
      <c r="G147" s="11" t="s">
        <v>283</v>
      </c>
      <c r="H147" s="10" t="s">
        <v>355</v>
      </c>
      <c r="I147" s="10" t="s">
        <v>793</v>
      </c>
      <c r="J147" s="11" t="s">
        <v>799</v>
      </c>
      <c r="K147" s="11"/>
      <c r="L147" s="11"/>
    </row>
    <row r="148" spans="2:12" x14ac:dyDescent="0.3">
      <c r="B148" s="10">
        <v>146</v>
      </c>
      <c r="C148" s="25"/>
      <c r="D148" s="25"/>
      <c r="E148" s="11"/>
      <c r="F148" s="11" t="s">
        <v>281</v>
      </c>
      <c r="G148" s="11" t="s">
        <v>259</v>
      </c>
      <c r="H148" s="10" t="s">
        <v>355</v>
      </c>
      <c r="I148" s="10" t="s">
        <v>793</v>
      </c>
      <c r="J148" s="11" t="s">
        <v>799</v>
      </c>
      <c r="K148" s="11"/>
      <c r="L148" s="11"/>
    </row>
    <row r="149" spans="2:12" x14ac:dyDescent="0.3">
      <c r="B149" s="10">
        <v>147</v>
      </c>
      <c r="C149" s="25"/>
      <c r="D149" s="25"/>
      <c r="E149" s="11"/>
      <c r="F149" s="11" t="s">
        <v>89</v>
      </c>
      <c r="G149" s="11" t="s">
        <v>109</v>
      </c>
      <c r="H149" s="10" t="s">
        <v>355</v>
      </c>
      <c r="I149" s="10" t="s">
        <v>793</v>
      </c>
      <c r="J149" s="11" t="s">
        <v>799</v>
      </c>
      <c r="K149" s="11"/>
      <c r="L149" s="11"/>
    </row>
    <row r="150" spans="2:12" x14ac:dyDescent="0.3">
      <c r="B150" s="10">
        <v>148</v>
      </c>
      <c r="C150" s="25"/>
      <c r="D150" s="25"/>
      <c r="E150" s="11"/>
      <c r="F150" s="11" t="s">
        <v>763</v>
      </c>
      <c r="G150" s="11" t="s">
        <v>766</v>
      </c>
      <c r="H150" s="10" t="s">
        <v>355</v>
      </c>
      <c r="I150" s="10" t="s">
        <v>793</v>
      </c>
      <c r="J150" s="11" t="s">
        <v>799</v>
      </c>
      <c r="K150" s="11"/>
      <c r="L150" s="11"/>
    </row>
    <row r="151" spans="2:12" x14ac:dyDescent="0.3">
      <c r="B151" s="10">
        <v>149</v>
      </c>
      <c r="C151" s="25"/>
      <c r="D151" s="25"/>
      <c r="E151" s="11"/>
      <c r="F151" s="11" t="s">
        <v>553</v>
      </c>
      <c r="G151" s="11" t="s">
        <v>466</v>
      </c>
      <c r="H151" s="10" t="s">
        <v>355</v>
      </c>
      <c r="I151" s="10" t="s">
        <v>793</v>
      </c>
      <c r="J151" s="11" t="s">
        <v>799</v>
      </c>
      <c r="K151" s="11"/>
      <c r="L151" s="11"/>
    </row>
  </sheetData>
  <mergeCells count="26">
    <mergeCell ref="C78:C90"/>
    <mergeCell ref="D78:D79"/>
    <mergeCell ref="D80:D90"/>
    <mergeCell ref="E89:E90"/>
    <mergeCell ref="C91:C151"/>
    <mergeCell ref="D91:D97"/>
    <mergeCell ref="D98:D110"/>
    <mergeCell ref="E99:E100"/>
    <mergeCell ref="E102:E103"/>
    <mergeCell ref="D111:D131"/>
    <mergeCell ref="D132:D133"/>
    <mergeCell ref="D134:D144"/>
    <mergeCell ref="D145:D151"/>
    <mergeCell ref="E49:E50"/>
    <mergeCell ref="E51:E52"/>
    <mergeCell ref="C54:C77"/>
    <mergeCell ref="D54:D56"/>
    <mergeCell ref="D57:D74"/>
    <mergeCell ref="D75:D77"/>
    <mergeCell ref="C3:C53"/>
    <mergeCell ref="D3:D10"/>
    <mergeCell ref="D11:D28"/>
    <mergeCell ref="D29:D35"/>
    <mergeCell ref="D36:D39"/>
    <mergeCell ref="D40:D45"/>
    <mergeCell ref="D46:D52"/>
  </mergeCells>
  <phoneticPr fontId="6" type="noConversion"/>
  <conditionalFormatting sqref="H3:H151">
    <cfRule type="cellIs" dxfId="14" priority="1" operator="equal">
      <formula>"Blocked"</formula>
    </cfRule>
    <cfRule type="cellIs" dxfId="13" priority="2" operator="equal">
      <formula>"Fail"</formula>
    </cfRule>
    <cfRule type="cellIs" dxfId="12" priority="3" operator="equal">
      <formula>"Pass"</formula>
    </cfRule>
    <cfRule type="cellIs" dxfId="11" priority="4" operator="equal">
      <formula>"Not Tested"</formula>
    </cfRule>
    <cfRule type="cellIs" dxfId="10" priority="5" operator="equal">
      <formula>"N/A"</formula>
    </cfRule>
  </conditionalFormatting>
  <dataValidations count="2">
    <dataValidation type="list" allowBlank="1" showInputMessage="1" showErrorMessage="1" sqref="H3:H151" xr:uid="{00000000-0002-0000-0100-000000000000}">
      <formula1>$N$3:$N$7</formula1>
    </dataValidation>
    <dataValidation type="list" allowBlank="1" showInputMessage="1" showErrorMessage="1" sqref="N3:N7" xr:uid="{00000000-0002-0000-0100-000001000000}">
      <formula1>$N$3</formula1>
    </dataValidation>
  </dataValidations>
  <pageMargins left="0.74805557727813721" right="0.74805557727813721" top="0.98430556058883667" bottom="0.98430556058883667" header="0.51138889789581299" footer="0.51138889789581299"/>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000000"/>
  </sheetPr>
  <dimension ref="A1:N138"/>
  <sheetViews>
    <sheetView showGridLines="0" topLeftCell="A2" zoomScaleNormal="100" zoomScaleSheetLayoutView="100" workbookViewId="0">
      <pane ySplit="1" topLeftCell="A3" activePane="bottomLeft" state="frozen"/>
      <selection pane="bottomLeft" activeCell="K2" sqref="K2"/>
    </sheetView>
  </sheetViews>
  <sheetFormatPr defaultColWidth="9" defaultRowHeight="12" x14ac:dyDescent="0.3"/>
  <cols>
    <col min="1" max="1" width="0.625" style="1" customWidth="1"/>
    <col min="2" max="2" width="9" style="1" bestFit="1" customWidth="1"/>
    <col min="3" max="3" width="20" style="2" customWidth="1"/>
    <col min="4" max="4" width="30" style="2" customWidth="1"/>
    <col min="5" max="5" width="44.75" style="3" customWidth="1"/>
    <col min="6" max="7" width="45" style="3" customWidth="1"/>
    <col min="8" max="8" width="9.25" style="3" bestFit="1" customWidth="1"/>
    <col min="9" max="9" width="13" style="1" bestFit="1" customWidth="1"/>
    <col min="10" max="10" width="9.25" style="3" bestFit="1" customWidth="1"/>
    <col min="11" max="11" width="7.75" style="3" bestFit="1" customWidth="1"/>
    <col min="12" max="12" width="23.75" style="3" customWidth="1"/>
    <col min="13" max="16384" width="9" style="3"/>
  </cols>
  <sheetData>
    <row r="1" spans="2:14" ht="3.75" customHeight="1" x14ac:dyDescent="0.3"/>
    <row r="2" spans="2:14" s="2" customFormat="1" x14ac:dyDescent="0.3">
      <c r="B2" s="9" t="s">
        <v>365</v>
      </c>
      <c r="C2" s="9" t="s">
        <v>84</v>
      </c>
      <c r="D2" s="9" t="s">
        <v>83</v>
      </c>
      <c r="E2" s="9" t="s">
        <v>314</v>
      </c>
      <c r="F2" s="9" t="s">
        <v>360</v>
      </c>
      <c r="G2" s="9" t="s">
        <v>319</v>
      </c>
      <c r="H2" s="9" t="s">
        <v>335</v>
      </c>
      <c r="I2" s="9" t="s">
        <v>329</v>
      </c>
      <c r="J2" s="9" t="s">
        <v>333</v>
      </c>
      <c r="K2" s="9" t="s">
        <v>324</v>
      </c>
      <c r="L2" s="9" t="s">
        <v>361</v>
      </c>
    </row>
    <row r="3" spans="2:14" x14ac:dyDescent="0.3">
      <c r="B3" s="10">
        <v>1</v>
      </c>
      <c r="C3" s="26" t="s">
        <v>315</v>
      </c>
      <c r="D3" s="26" t="s">
        <v>70</v>
      </c>
      <c r="E3" s="11" t="s">
        <v>463</v>
      </c>
      <c r="F3" s="11" t="s">
        <v>447</v>
      </c>
      <c r="G3" s="11" t="s">
        <v>165</v>
      </c>
      <c r="H3" s="10" t="s">
        <v>363</v>
      </c>
      <c r="I3" s="10" t="s">
        <v>793</v>
      </c>
      <c r="J3" s="11" t="s">
        <v>795</v>
      </c>
      <c r="K3" s="11"/>
      <c r="L3" s="11"/>
      <c r="N3" s="4" t="s">
        <v>355</v>
      </c>
    </row>
    <row r="4" spans="2:14" x14ac:dyDescent="0.3">
      <c r="B4" s="10">
        <v>2</v>
      </c>
      <c r="C4" s="26"/>
      <c r="D4" s="26"/>
      <c r="E4" s="11" t="s">
        <v>357</v>
      </c>
      <c r="F4" s="11" t="s">
        <v>350</v>
      </c>
      <c r="G4" s="11" t="s">
        <v>66</v>
      </c>
      <c r="H4" s="10" t="s">
        <v>363</v>
      </c>
      <c r="I4" s="10" t="s">
        <v>793</v>
      </c>
      <c r="J4" s="11" t="s">
        <v>795</v>
      </c>
      <c r="K4" s="11"/>
      <c r="L4" s="11"/>
      <c r="N4" s="4" t="s">
        <v>363</v>
      </c>
    </row>
    <row r="5" spans="2:14" x14ac:dyDescent="0.3">
      <c r="B5" s="10">
        <v>3</v>
      </c>
      <c r="C5" s="26"/>
      <c r="D5" s="26"/>
      <c r="E5" s="11" t="s">
        <v>66</v>
      </c>
      <c r="F5" s="11" t="s">
        <v>334</v>
      </c>
      <c r="G5" s="11" t="s">
        <v>485</v>
      </c>
      <c r="H5" s="10" t="s">
        <v>363</v>
      </c>
      <c r="I5" s="10" t="s">
        <v>793</v>
      </c>
      <c r="J5" s="11" t="s">
        <v>794</v>
      </c>
      <c r="K5" s="11"/>
      <c r="L5" s="11"/>
      <c r="N5" s="4" t="s">
        <v>353</v>
      </c>
    </row>
    <row r="6" spans="2:14" x14ac:dyDescent="0.3">
      <c r="B6" s="10">
        <v>4</v>
      </c>
      <c r="C6" s="26"/>
      <c r="D6" s="26"/>
      <c r="E6" s="11" t="s">
        <v>485</v>
      </c>
      <c r="F6" s="11" t="s">
        <v>358</v>
      </c>
      <c r="G6" s="11" t="s">
        <v>536</v>
      </c>
      <c r="H6" s="10" t="s">
        <v>355</v>
      </c>
      <c r="I6" s="10" t="s">
        <v>793</v>
      </c>
      <c r="J6" s="11" t="s">
        <v>794</v>
      </c>
      <c r="K6" s="11"/>
      <c r="L6" s="11"/>
      <c r="N6" s="4" t="s">
        <v>556</v>
      </c>
    </row>
    <row r="7" spans="2:14" x14ac:dyDescent="0.3">
      <c r="B7" s="10">
        <v>5</v>
      </c>
      <c r="C7" s="26"/>
      <c r="D7" s="26"/>
      <c r="E7" s="11" t="s">
        <v>536</v>
      </c>
      <c r="F7" s="11" t="s">
        <v>334</v>
      </c>
      <c r="G7" s="11" t="s">
        <v>412</v>
      </c>
      <c r="H7" s="10" t="s">
        <v>355</v>
      </c>
      <c r="I7" s="10" t="s">
        <v>793</v>
      </c>
      <c r="J7" s="11" t="s">
        <v>794</v>
      </c>
      <c r="K7" s="11"/>
      <c r="L7" s="11"/>
      <c r="N7" s="4" t="s">
        <v>72</v>
      </c>
    </row>
    <row r="8" spans="2:14" x14ac:dyDescent="0.3">
      <c r="B8" s="10">
        <v>6</v>
      </c>
      <c r="C8" s="26"/>
      <c r="D8" s="26"/>
      <c r="E8" s="11" t="s">
        <v>602</v>
      </c>
      <c r="F8" s="11" t="s">
        <v>334</v>
      </c>
      <c r="G8" s="11" t="s">
        <v>612</v>
      </c>
      <c r="H8" s="10" t="s">
        <v>355</v>
      </c>
      <c r="I8" s="10" t="s">
        <v>793</v>
      </c>
      <c r="J8" s="11" t="s">
        <v>794</v>
      </c>
      <c r="K8" s="11"/>
      <c r="L8" s="11"/>
    </row>
    <row r="9" spans="2:14" x14ac:dyDescent="0.3">
      <c r="B9" s="10">
        <v>7</v>
      </c>
      <c r="C9" s="26"/>
      <c r="D9" s="26"/>
      <c r="E9" s="11" t="s">
        <v>612</v>
      </c>
      <c r="F9" s="11" t="s">
        <v>438</v>
      </c>
      <c r="G9" s="11" t="s">
        <v>730</v>
      </c>
      <c r="H9" s="10" t="s">
        <v>355</v>
      </c>
      <c r="I9" s="10" t="s">
        <v>793</v>
      </c>
      <c r="J9" s="11" t="s">
        <v>794</v>
      </c>
      <c r="K9" s="11"/>
      <c r="L9" s="11"/>
    </row>
    <row r="10" spans="2:14" x14ac:dyDescent="0.3">
      <c r="B10" s="10">
        <v>8</v>
      </c>
      <c r="C10" s="26"/>
      <c r="D10" s="26"/>
      <c r="E10" s="11" t="s">
        <v>612</v>
      </c>
      <c r="F10" s="11" t="s">
        <v>781</v>
      </c>
      <c r="G10" s="11" t="s">
        <v>30</v>
      </c>
      <c r="H10" s="10" t="s">
        <v>355</v>
      </c>
      <c r="I10" s="10" t="s">
        <v>793</v>
      </c>
      <c r="J10" s="11" t="s">
        <v>794</v>
      </c>
      <c r="K10" s="11"/>
      <c r="L10" s="11"/>
    </row>
    <row r="11" spans="2:14" x14ac:dyDescent="0.3">
      <c r="B11" s="10">
        <v>9</v>
      </c>
      <c r="C11" s="26"/>
      <c r="D11" s="26"/>
      <c r="E11" s="11" t="s">
        <v>612</v>
      </c>
      <c r="F11" s="11" t="s">
        <v>441</v>
      </c>
      <c r="G11" s="11" t="s">
        <v>202</v>
      </c>
      <c r="H11" s="10" t="s">
        <v>355</v>
      </c>
      <c r="I11" s="10" t="s">
        <v>793</v>
      </c>
      <c r="J11" s="11" t="s">
        <v>794</v>
      </c>
      <c r="K11" s="11"/>
      <c r="L11" s="11"/>
    </row>
    <row r="12" spans="2:14" x14ac:dyDescent="0.3">
      <c r="B12" s="10">
        <v>10</v>
      </c>
      <c r="C12" s="26"/>
      <c r="D12" s="26"/>
      <c r="E12" s="11" t="s">
        <v>486</v>
      </c>
      <c r="F12" s="11" t="s">
        <v>334</v>
      </c>
      <c r="G12" s="11" t="s">
        <v>205</v>
      </c>
      <c r="H12" s="10" t="s">
        <v>355</v>
      </c>
      <c r="I12" s="10" t="s">
        <v>793</v>
      </c>
      <c r="J12" s="11" t="s">
        <v>794</v>
      </c>
      <c r="K12" s="11"/>
      <c r="L12" s="11"/>
    </row>
    <row r="13" spans="2:14" x14ac:dyDescent="0.3">
      <c r="B13" s="10">
        <v>11</v>
      </c>
      <c r="C13" s="26"/>
      <c r="D13" s="26"/>
      <c r="E13" s="11" t="s">
        <v>401</v>
      </c>
      <c r="F13" s="11" t="s">
        <v>334</v>
      </c>
      <c r="G13" s="11" t="s">
        <v>486</v>
      </c>
      <c r="H13" s="10" t="s">
        <v>355</v>
      </c>
      <c r="I13" s="10" t="s">
        <v>793</v>
      </c>
      <c r="J13" s="11" t="s">
        <v>794</v>
      </c>
      <c r="K13" s="11"/>
      <c r="L13" s="11"/>
    </row>
    <row r="14" spans="2:14" x14ac:dyDescent="0.3">
      <c r="B14" s="10">
        <v>12</v>
      </c>
      <c r="C14" s="26"/>
      <c r="D14" s="26"/>
      <c r="E14" s="11" t="s">
        <v>580</v>
      </c>
      <c r="F14" s="11" t="s">
        <v>334</v>
      </c>
      <c r="G14" s="11" t="s">
        <v>773</v>
      </c>
      <c r="H14" s="10" t="s">
        <v>355</v>
      </c>
      <c r="I14" s="10" t="s">
        <v>793</v>
      </c>
      <c r="J14" s="11" t="s">
        <v>794</v>
      </c>
      <c r="K14" s="11"/>
      <c r="L14" s="11"/>
    </row>
    <row r="15" spans="2:14" ht="24" x14ac:dyDescent="0.3">
      <c r="B15" s="10">
        <v>13</v>
      </c>
      <c r="C15" s="26"/>
      <c r="D15" s="26"/>
      <c r="E15" s="11" t="s">
        <v>394</v>
      </c>
      <c r="F15" s="11" t="s">
        <v>334</v>
      </c>
      <c r="G15" s="11" t="s">
        <v>130</v>
      </c>
      <c r="H15" s="10" t="s">
        <v>355</v>
      </c>
      <c r="I15" s="10" t="s">
        <v>793</v>
      </c>
      <c r="J15" s="11" t="s">
        <v>794</v>
      </c>
      <c r="K15" s="11"/>
      <c r="L15" s="11"/>
    </row>
    <row r="16" spans="2:14" x14ac:dyDescent="0.3">
      <c r="B16" s="10">
        <v>14</v>
      </c>
      <c r="C16" s="26"/>
      <c r="D16" s="26"/>
      <c r="E16" s="11" t="s">
        <v>130</v>
      </c>
      <c r="F16" s="11" t="s">
        <v>334</v>
      </c>
      <c r="G16" s="11" t="s">
        <v>205</v>
      </c>
      <c r="H16" s="10" t="s">
        <v>355</v>
      </c>
      <c r="I16" s="10" t="s">
        <v>793</v>
      </c>
      <c r="J16" s="11" t="s">
        <v>794</v>
      </c>
      <c r="K16" s="11"/>
      <c r="L16" s="11"/>
    </row>
    <row r="17" spans="2:12" ht="24" x14ac:dyDescent="0.3">
      <c r="B17" s="10">
        <v>15</v>
      </c>
      <c r="C17" s="26"/>
      <c r="D17" s="26"/>
      <c r="E17" s="11" t="s">
        <v>563</v>
      </c>
      <c r="F17" s="11" t="s">
        <v>334</v>
      </c>
      <c r="G17" s="11" t="s">
        <v>292</v>
      </c>
      <c r="H17" s="10" t="s">
        <v>355</v>
      </c>
      <c r="I17" s="10" t="s">
        <v>793</v>
      </c>
      <c r="J17" s="11" t="s">
        <v>794</v>
      </c>
      <c r="K17" s="11"/>
      <c r="L17" s="11"/>
    </row>
    <row r="18" spans="2:12" x14ac:dyDescent="0.3">
      <c r="B18" s="10">
        <v>16</v>
      </c>
      <c r="C18" s="26"/>
      <c r="D18" s="26"/>
      <c r="E18" s="11" t="s">
        <v>727</v>
      </c>
      <c r="F18" s="11" t="s">
        <v>334</v>
      </c>
      <c r="G18" s="11" t="s">
        <v>579</v>
      </c>
      <c r="H18" s="10" t="s">
        <v>355</v>
      </c>
      <c r="I18" s="10" t="s">
        <v>793</v>
      </c>
      <c r="J18" s="11" t="s">
        <v>794</v>
      </c>
      <c r="K18" s="11"/>
      <c r="L18" s="11"/>
    </row>
    <row r="19" spans="2:12" x14ac:dyDescent="0.3">
      <c r="B19" s="10">
        <v>17</v>
      </c>
      <c r="C19" s="26"/>
      <c r="D19" s="26"/>
      <c r="E19" s="11" t="s">
        <v>579</v>
      </c>
      <c r="F19" s="11" t="s">
        <v>438</v>
      </c>
      <c r="G19" s="11" t="s">
        <v>730</v>
      </c>
      <c r="H19" s="10" t="s">
        <v>355</v>
      </c>
      <c r="I19" s="10" t="s">
        <v>793</v>
      </c>
      <c r="J19" s="11" t="s">
        <v>794</v>
      </c>
      <c r="K19" s="11"/>
      <c r="L19" s="11"/>
    </row>
    <row r="20" spans="2:12" x14ac:dyDescent="0.3">
      <c r="B20" s="10">
        <v>18</v>
      </c>
      <c r="C20" s="26"/>
      <c r="D20" s="26"/>
      <c r="E20" s="11" t="s">
        <v>579</v>
      </c>
      <c r="F20" s="11" t="s">
        <v>343</v>
      </c>
      <c r="G20" s="11" t="s">
        <v>729</v>
      </c>
      <c r="H20" s="10" t="s">
        <v>355</v>
      </c>
      <c r="I20" s="10" t="s">
        <v>793</v>
      </c>
      <c r="J20" s="11" t="s">
        <v>794</v>
      </c>
      <c r="K20" s="11"/>
      <c r="L20" s="11"/>
    </row>
    <row r="21" spans="2:12" x14ac:dyDescent="0.3">
      <c r="B21" s="10">
        <v>19</v>
      </c>
      <c r="C21" s="26"/>
      <c r="D21" s="26"/>
      <c r="E21" s="11" t="s">
        <v>579</v>
      </c>
      <c r="F21" s="11" t="s">
        <v>781</v>
      </c>
      <c r="G21" s="11" t="s">
        <v>606</v>
      </c>
      <c r="H21" s="10" t="s">
        <v>355</v>
      </c>
      <c r="I21" s="10" t="s">
        <v>793</v>
      </c>
      <c r="J21" s="11" t="s">
        <v>794</v>
      </c>
      <c r="K21" s="11"/>
      <c r="L21" s="11"/>
    </row>
    <row r="22" spans="2:12" x14ac:dyDescent="0.3">
      <c r="B22" s="10">
        <v>20</v>
      </c>
      <c r="C22" s="26"/>
      <c r="D22" s="26"/>
      <c r="E22" s="11" t="s">
        <v>579</v>
      </c>
      <c r="F22" s="11" t="s">
        <v>749</v>
      </c>
      <c r="G22" s="11" t="s">
        <v>30</v>
      </c>
      <c r="H22" s="10" t="s">
        <v>355</v>
      </c>
      <c r="I22" s="10" t="s">
        <v>793</v>
      </c>
      <c r="J22" s="11" t="s">
        <v>794</v>
      </c>
      <c r="K22" s="11"/>
      <c r="L22" s="11"/>
    </row>
    <row r="23" spans="2:12" ht="24" x14ac:dyDescent="0.3">
      <c r="B23" s="10">
        <v>21</v>
      </c>
      <c r="C23" s="26"/>
      <c r="D23" s="26"/>
      <c r="E23" s="11" t="s">
        <v>538</v>
      </c>
      <c r="F23" s="11" t="s">
        <v>334</v>
      </c>
      <c r="G23" s="11" t="s">
        <v>385</v>
      </c>
      <c r="H23" s="10" t="s">
        <v>355</v>
      </c>
      <c r="I23" s="10" t="s">
        <v>793</v>
      </c>
      <c r="J23" s="11" t="s">
        <v>794</v>
      </c>
      <c r="K23" s="11"/>
      <c r="L23" s="11"/>
    </row>
    <row r="24" spans="2:12" ht="24" x14ac:dyDescent="0.3">
      <c r="B24" s="10">
        <v>22</v>
      </c>
      <c r="C24" s="26"/>
      <c r="D24" s="26"/>
      <c r="E24" s="11" t="s">
        <v>477</v>
      </c>
      <c r="F24" s="11" t="s">
        <v>334</v>
      </c>
      <c r="G24" s="11" t="s">
        <v>773</v>
      </c>
      <c r="H24" s="10" t="s">
        <v>355</v>
      </c>
      <c r="I24" s="10" t="s">
        <v>793</v>
      </c>
      <c r="J24" s="11" t="s">
        <v>794</v>
      </c>
      <c r="K24" s="11"/>
      <c r="L24" s="11"/>
    </row>
    <row r="25" spans="2:12" x14ac:dyDescent="0.3">
      <c r="B25" s="10">
        <v>23</v>
      </c>
      <c r="C25" s="26"/>
      <c r="D25" s="26" t="s">
        <v>352</v>
      </c>
      <c r="E25" s="11" t="s">
        <v>202</v>
      </c>
      <c r="F25" s="11" t="s">
        <v>346</v>
      </c>
      <c r="G25" s="11" t="s">
        <v>184</v>
      </c>
      <c r="H25" s="10" t="s">
        <v>355</v>
      </c>
      <c r="I25" s="10" t="s">
        <v>793</v>
      </c>
      <c r="J25" s="11" t="s">
        <v>794</v>
      </c>
      <c r="K25" s="11"/>
      <c r="L25" s="11"/>
    </row>
    <row r="26" spans="2:12" x14ac:dyDescent="0.3">
      <c r="B26" s="10">
        <v>24</v>
      </c>
      <c r="C26" s="26"/>
      <c r="D26" s="26"/>
      <c r="E26" s="11" t="s">
        <v>202</v>
      </c>
      <c r="F26" s="11" t="s">
        <v>198</v>
      </c>
      <c r="G26" s="11" t="s">
        <v>184</v>
      </c>
      <c r="H26" s="10" t="s">
        <v>355</v>
      </c>
      <c r="I26" s="10" t="s">
        <v>793</v>
      </c>
      <c r="J26" s="11" t="s">
        <v>794</v>
      </c>
      <c r="K26" s="11"/>
      <c r="L26" s="11"/>
    </row>
    <row r="27" spans="2:12" x14ac:dyDescent="0.3">
      <c r="B27" s="10">
        <v>25</v>
      </c>
      <c r="C27" s="26"/>
      <c r="D27" s="26"/>
      <c r="E27" s="11" t="s">
        <v>202</v>
      </c>
      <c r="F27" s="11" t="s">
        <v>558</v>
      </c>
      <c r="G27" s="11" t="s">
        <v>572</v>
      </c>
      <c r="H27" s="10" t="s">
        <v>355</v>
      </c>
      <c r="I27" s="10" t="s">
        <v>793</v>
      </c>
      <c r="J27" s="11" t="s">
        <v>794</v>
      </c>
      <c r="K27" s="11"/>
      <c r="L27" s="11"/>
    </row>
    <row r="28" spans="2:12" x14ac:dyDescent="0.3">
      <c r="B28" s="10">
        <v>26</v>
      </c>
      <c r="C28" s="26"/>
      <c r="D28" s="26"/>
      <c r="E28" s="11" t="s">
        <v>202</v>
      </c>
      <c r="F28" s="11" t="s">
        <v>555</v>
      </c>
      <c r="G28" s="11" t="s">
        <v>572</v>
      </c>
      <c r="H28" s="10" t="s">
        <v>355</v>
      </c>
      <c r="I28" s="10" t="s">
        <v>793</v>
      </c>
      <c r="J28" s="11" t="s">
        <v>794</v>
      </c>
      <c r="K28" s="11"/>
      <c r="L28" s="11"/>
    </row>
    <row r="29" spans="2:12" x14ac:dyDescent="0.3">
      <c r="B29" s="10">
        <v>27</v>
      </c>
      <c r="C29" s="26"/>
      <c r="D29" s="26"/>
      <c r="E29" s="11" t="s">
        <v>217</v>
      </c>
      <c r="F29" s="11" t="s">
        <v>561</v>
      </c>
      <c r="G29" s="11" t="s">
        <v>185</v>
      </c>
      <c r="H29" s="10" t="s">
        <v>355</v>
      </c>
      <c r="I29" s="10" t="s">
        <v>793</v>
      </c>
      <c r="J29" s="11" t="s">
        <v>794</v>
      </c>
      <c r="K29" s="11"/>
      <c r="L29" s="11"/>
    </row>
    <row r="30" spans="2:12" x14ac:dyDescent="0.3">
      <c r="B30" s="10">
        <v>28</v>
      </c>
      <c r="C30" s="26"/>
      <c r="D30" s="26"/>
      <c r="E30" s="11" t="s">
        <v>217</v>
      </c>
      <c r="F30" s="11" t="s">
        <v>367</v>
      </c>
      <c r="G30" s="11" t="s">
        <v>572</v>
      </c>
      <c r="H30" s="10" t="s">
        <v>355</v>
      </c>
      <c r="I30" s="10" t="s">
        <v>793</v>
      </c>
      <c r="J30" s="11" t="s">
        <v>794</v>
      </c>
      <c r="K30" s="11"/>
      <c r="L30" s="11"/>
    </row>
    <row r="31" spans="2:12" x14ac:dyDescent="0.3">
      <c r="B31" s="10">
        <v>29</v>
      </c>
      <c r="C31" s="26"/>
      <c r="D31" s="26"/>
      <c r="E31" s="11" t="s">
        <v>199</v>
      </c>
      <c r="F31" s="11" t="s">
        <v>225</v>
      </c>
      <c r="G31" s="11" t="s">
        <v>551</v>
      </c>
      <c r="H31" s="10" t="s">
        <v>355</v>
      </c>
      <c r="I31" s="10" t="s">
        <v>793</v>
      </c>
      <c r="J31" s="11" t="s">
        <v>794</v>
      </c>
      <c r="K31" s="11"/>
      <c r="L31" s="11"/>
    </row>
    <row r="32" spans="2:12" x14ac:dyDescent="0.3">
      <c r="B32" s="10">
        <v>30</v>
      </c>
      <c r="C32" s="26"/>
      <c r="D32" s="26"/>
      <c r="E32" s="11" t="s">
        <v>551</v>
      </c>
      <c r="F32" s="11" t="s">
        <v>147</v>
      </c>
      <c r="G32" s="11" t="s">
        <v>282</v>
      </c>
      <c r="H32" s="10" t="s">
        <v>355</v>
      </c>
      <c r="I32" s="10" t="s">
        <v>793</v>
      </c>
      <c r="J32" s="11" t="s">
        <v>794</v>
      </c>
      <c r="K32" s="11"/>
      <c r="L32" s="11"/>
    </row>
    <row r="33" spans="2:12" x14ac:dyDescent="0.3">
      <c r="B33" s="10">
        <v>31</v>
      </c>
      <c r="C33" s="26"/>
      <c r="D33" s="26"/>
      <c r="E33" s="11" t="s">
        <v>551</v>
      </c>
      <c r="F33" s="11" t="s">
        <v>140</v>
      </c>
      <c r="G33" s="11" t="s">
        <v>218</v>
      </c>
      <c r="H33" s="10" t="s">
        <v>355</v>
      </c>
      <c r="I33" s="10" t="s">
        <v>793</v>
      </c>
      <c r="J33" s="11" t="s">
        <v>794</v>
      </c>
      <c r="K33" s="11"/>
      <c r="L33" s="11"/>
    </row>
    <row r="34" spans="2:12" x14ac:dyDescent="0.3">
      <c r="B34" s="10">
        <v>32</v>
      </c>
      <c r="C34" s="26"/>
      <c r="D34" s="26"/>
      <c r="E34" s="11" t="s">
        <v>218</v>
      </c>
      <c r="F34" s="11" t="s">
        <v>195</v>
      </c>
      <c r="G34" s="11" t="s">
        <v>210</v>
      </c>
      <c r="H34" s="10" t="s">
        <v>355</v>
      </c>
      <c r="I34" s="10" t="s">
        <v>793</v>
      </c>
      <c r="J34" s="11" t="s">
        <v>794</v>
      </c>
      <c r="K34" s="11"/>
      <c r="L34" s="11"/>
    </row>
    <row r="35" spans="2:12" ht="24" x14ac:dyDescent="0.3">
      <c r="B35" s="10">
        <v>33</v>
      </c>
      <c r="C35" s="26"/>
      <c r="D35" s="26"/>
      <c r="E35" s="11" t="s">
        <v>185</v>
      </c>
      <c r="F35" s="11" t="s">
        <v>216</v>
      </c>
      <c r="G35" s="11" t="s">
        <v>37</v>
      </c>
      <c r="H35" s="10" t="s">
        <v>355</v>
      </c>
      <c r="I35" s="10" t="s">
        <v>793</v>
      </c>
      <c r="J35" s="11" t="s">
        <v>794</v>
      </c>
      <c r="K35" s="11"/>
      <c r="L35" s="11"/>
    </row>
    <row r="36" spans="2:12" ht="24" x14ac:dyDescent="0.3">
      <c r="B36" s="10">
        <v>34</v>
      </c>
      <c r="C36" s="26"/>
      <c r="D36" s="26"/>
      <c r="E36" s="11" t="s">
        <v>185</v>
      </c>
      <c r="F36" s="11" t="s">
        <v>201</v>
      </c>
      <c r="G36" s="11" t="s">
        <v>31</v>
      </c>
      <c r="H36" s="10" t="s">
        <v>355</v>
      </c>
      <c r="I36" s="10" t="s">
        <v>793</v>
      </c>
      <c r="J36" s="11" t="s">
        <v>794</v>
      </c>
      <c r="K36" s="11"/>
      <c r="L36" s="11"/>
    </row>
    <row r="37" spans="2:12" ht="24" x14ac:dyDescent="0.3">
      <c r="B37" s="10">
        <v>35</v>
      </c>
      <c r="C37" s="26"/>
      <c r="D37" s="26"/>
      <c r="E37" s="11" t="s">
        <v>185</v>
      </c>
      <c r="F37" s="11" t="s">
        <v>224</v>
      </c>
      <c r="G37" s="11" t="s">
        <v>35</v>
      </c>
      <c r="H37" s="10" t="s">
        <v>355</v>
      </c>
      <c r="I37" s="10" t="s">
        <v>793</v>
      </c>
      <c r="J37" s="11" t="s">
        <v>794</v>
      </c>
      <c r="K37" s="11"/>
      <c r="L37" s="11"/>
    </row>
    <row r="38" spans="2:12" ht="24" x14ac:dyDescent="0.3">
      <c r="B38" s="10">
        <v>36</v>
      </c>
      <c r="C38" s="26"/>
      <c r="D38" s="26"/>
      <c r="E38" s="11" t="s">
        <v>185</v>
      </c>
      <c r="F38" s="11" t="s">
        <v>212</v>
      </c>
      <c r="G38" s="11" t="s">
        <v>39</v>
      </c>
      <c r="H38" s="10" t="s">
        <v>355</v>
      </c>
      <c r="I38" s="10" t="s">
        <v>793</v>
      </c>
      <c r="J38" s="11" t="s">
        <v>794</v>
      </c>
      <c r="K38" s="11"/>
      <c r="L38" s="11"/>
    </row>
    <row r="39" spans="2:12" ht="24" x14ac:dyDescent="0.3">
      <c r="B39" s="10">
        <v>37</v>
      </c>
      <c r="C39" s="26"/>
      <c r="D39" s="26"/>
      <c r="E39" s="11" t="s">
        <v>185</v>
      </c>
      <c r="F39" s="11" t="s">
        <v>249</v>
      </c>
      <c r="G39" s="11" t="s">
        <v>33</v>
      </c>
      <c r="H39" s="10" t="s">
        <v>355</v>
      </c>
      <c r="I39" s="10" t="s">
        <v>793</v>
      </c>
      <c r="J39" s="11" t="s">
        <v>794</v>
      </c>
      <c r="K39" s="11"/>
      <c r="L39" s="11"/>
    </row>
    <row r="40" spans="2:12" x14ac:dyDescent="0.3">
      <c r="B40" s="10">
        <v>38</v>
      </c>
      <c r="C40" s="26"/>
      <c r="D40" s="26"/>
      <c r="E40" s="11" t="s">
        <v>185</v>
      </c>
      <c r="F40" s="11" t="s">
        <v>453</v>
      </c>
      <c r="G40" s="11" t="s">
        <v>704</v>
      </c>
      <c r="H40" s="10" t="s">
        <v>355</v>
      </c>
      <c r="I40" s="10" t="s">
        <v>793</v>
      </c>
      <c r="J40" s="11" t="s">
        <v>794</v>
      </c>
      <c r="K40" s="11"/>
      <c r="L40" s="11"/>
    </row>
    <row r="41" spans="2:12" x14ac:dyDescent="0.3">
      <c r="B41" s="10">
        <v>39</v>
      </c>
      <c r="C41" s="26"/>
      <c r="D41" s="26"/>
      <c r="E41" s="11" t="s">
        <v>755</v>
      </c>
      <c r="F41" s="11" t="s">
        <v>441</v>
      </c>
      <c r="G41" s="11" t="s">
        <v>534</v>
      </c>
      <c r="H41" s="10" t="s">
        <v>355</v>
      </c>
      <c r="I41" s="10" t="s">
        <v>793</v>
      </c>
      <c r="J41" s="11" t="s">
        <v>794</v>
      </c>
      <c r="K41" s="11"/>
      <c r="L41" s="11"/>
    </row>
    <row r="42" spans="2:12" x14ac:dyDescent="0.3">
      <c r="B42" s="10">
        <v>40</v>
      </c>
      <c r="C42" s="26"/>
      <c r="D42" s="26"/>
      <c r="E42" s="11" t="s">
        <v>196</v>
      </c>
      <c r="F42" s="11" t="s">
        <v>219</v>
      </c>
      <c r="G42" s="11" t="s">
        <v>732</v>
      </c>
      <c r="H42" s="10" t="s">
        <v>355</v>
      </c>
      <c r="I42" s="10" t="s">
        <v>793</v>
      </c>
      <c r="J42" s="11" t="s">
        <v>794</v>
      </c>
      <c r="K42" s="11"/>
      <c r="L42" s="11"/>
    </row>
    <row r="43" spans="2:12" x14ac:dyDescent="0.3">
      <c r="B43" s="10">
        <v>41</v>
      </c>
      <c r="C43" s="26"/>
      <c r="D43" s="26"/>
      <c r="E43" s="11" t="s">
        <v>196</v>
      </c>
      <c r="F43" s="11" t="s">
        <v>558</v>
      </c>
      <c r="G43" s="11" t="s">
        <v>580</v>
      </c>
      <c r="H43" s="10" t="s">
        <v>355</v>
      </c>
      <c r="I43" s="10" t="s">
        <v>793</v>
      </c>
      <c r="J43" s="11" t="s">
        <v>794</v>
      </c>
      <c r="K43" s="11"/>
      <c r="L43" s="11"/>
    </row>
    <row r="44" spans="2:12" x14ac:dyDescent="0.3">
      <c r="B44" s="10">
        <v>42</v>
      </c>
      <c r="C44" s="26"/>
      <c r="D44" s="26"/>
      <c r="E44" s="11" t="s">
        <v>732</v>
      </c>
      <c r="F44" s="11" t="s">
        <v>559</v>
      </c>
      <c r="G44" s="11" t="s">
        <v>728</v>
      </c>
      <c r="H44" s="10" t="s">
        <v>355</v>
      </c>
      <c r="I44" s="10" t="s">
        <v>793</v>
      </c>
      <c r="J44" s="11" t="s">
        <v>794</v>
      </c>
      <c r="K44" s="11"/>
      <c r="L44" s="11"/>
    </row>
    <row r="45" spans="2:12" x14ac:dyDescent="0.3">
      <c r="B45" s="10">
        <v>43</v>
      </c>
      <c r="C45" s="26"/>
      <c r="D45" s="26"/>
      <c r="E45" s="11" t="s">
        <v>732</v>
      </c>
      <c r="F45" s="11" t="s">
        <v>354</v>
      </c>
      <c r="G45" s="11" t="s">
        <v>580</v>
      </c>
      <c r="H45" s="10" t="s">
        <v>355</v>
      </c>
      <c r="I45" s="10" t="s">
        <v>793</v>
      </c>
      <c r="J45" s="11" t="s">
        <v>794</v>
      </c>
      <c r="K45" s="11"/>
      <c r="L45" s="11"/>
    </row>
    <row r="46" spans="2:12" x14ac:dyDescent="0.3">
      <c r="B46" s="10">
        <v>44</v>
      </c>
      <c r="C46" s="26"/>
      <c r="D46" s="26"/>
      <c r="E46" s="11" t="s">
        <v>773</v>
      </c>
      <c r="F46" s="11"/>
      <c r="G46" s="11" t="s">
        <v>554</v>
      </c>
      <c r="H46" s="10" t="s">
        <v>355</v>
      </c>
      <c r="I46" s="10" t="s">
        <v>793</v>
      </c>
      <c r="J46" s="11" t="s">
        <v>794</v>
      </c>
      <c r="K46" s="11"/>
      <c r="L46" s="11"/>
    </row>
    <row r="47" spans="2:12" x14ac:dyDescent="0.3">
      <c r="B47" s="10">
        <v>45</v>
      </c>
      <c r="C47" s="26"/>
      <c r="D47" s="26"/>
      <c r="E47" s="11" t="s">
        <v>554</v>
      </c>
      <c r="F47" s="11" t="s">
        <v>336</v>
      </c>
      <c r="G47" s="11" t="s">
        <v>199</v>
      </c>
      <c r="H47" s="10" t="s">
        <v>355</v>
      </c>
      <c r="I47" s="10" t="s">
        <v>793</v>
      </c>
      <c r="J47" s="11" t="s">
        <v>794</v>
      </c>
      <c r="K47" s="11"/>
      <c r="L47" s="11"/>
    </row>
    <row r="48" spans="2:12" x14ac:dyDescent="0.3">
      <c r="B48" s="10">
        <v>46</v>
      </c>
      <c r="C48" s="26"/>
      <c r="D48" s="26"/>
      <c r="E48" s="11" t="s">
        <v>554</v>
      </c>
      <c r="F48" s="11" t="s">
        <v>139</v>
      </c>
      <c r="G48" s="11" t="s">
        <v>584</v>
      </c>
      <c r="H48" s="10" t="s">
        <v>355</v>
      </c>
      <c r="I48" s="10" t="s">
        <v>793</v>
      </c>
      <c r="J48" s="11" t="s">
        <v>794</v>
      </c>
      <c r="K48" s="11"/>
      <c r="L48" s="11"/>
    </row>
    <row r="49" spans="2:12" ht="48" x14ac:dyDescent="0.3">
      <c r="B49" s="10">
        <v>47</v>
      </c>
      <c r="C49" s="26"/>
      <c r="D49" s="26"/>
      <c r="E49" s="11" t="s">
        <v>143</v>
      </c>
      <c r="F49" s="11" t="s">
        <v>331</v>
      </c>
      <c r="G49" s="11" t="s">
        <v>492</v>
      </c>
      <c r="H49" s="10" t="s">
        <v>355</v>
      </c>
      <c r="I49" s="10" t="s">
        <v>793</v>
      </c>
      <c r="J49" s="11" t="s">
        <v>794</v>
      </c>
      <c r="K49" s="11"/>
      <c r="L49" s="11"/>
    </row>
    <row r="50" spans="2:12" x14ac:dyDescent="0.3">
      <c r="B50" s="10">
        <v>48</v>
      </c>
      <c r="C50" s="26"/>
      <c r="D50" s="26"/>
      <c r="E50" s="11" t="s">
        <v>755</v>
      </c>
      <c r="F50" s="11" t="s">
        <v>441</v>
      </c>
      <c r="G50" s="11" t="s">
        <v>202</v>
      </c>
      <c r="H50" s="10" t="s">
        <v>355</v>
      </c>
      <c r="I50" s="10" t="s">
        <v>793</v>
      </c>
      <c r="J50" s="11" t="s">
        <v>794</v>
      </c>
      <c r="K50" s="11"/>
      <c r="L50" s="11"/>
    </row>
    <row r="51" spans="2:12" x14ac:dyDescent="0.3">
      <c r="B51" s="10">
        <v>49</v>
      </c>
      <c r="C51" s="26"/>
      <c r="D51" s="26"/>
      <c r="E51" s="11" t="s">
        <v>202</v>
      </c>
      <c r="F51" s="11" t="s">
        <v>558</v>
      </c>
      <c r="G51" s="11" t="s">
        <v>184</v>
      </c>
      <c r="H51" s="10" t="s">
        <v>355</v>
      </c>
      <c r="I51" s="10" t="s">
        <v>793</v>
      </c>
      <c r="J51" s="11" t="s">
        <v>794</v>
      </c>
      <c r="K51" s="11"/>
      <c r="L51" s="11"/>
    </row>
    <row r="52" spans="2:12" x14ac:dyDescent="0.3">
      <c r="B52" s="10">
        <v>50</v>
      </c>
      <c r="C52" s="26"/>
      <c r="D52" s="26"/>
      <c r="E52" s="11" t="s">
        <v>202</v>
      </c>
      <c r="F52" s="11" t="s">
        <v>193</v>
      </c>
      <c r="G52" s="11" t="s">
        <v>563</v>
      </c>
      <c r="H52" s="10" t="s">
        <v>355</v>
      </c>
      <c r="I52" s="10" t="s">
        <v>793</v>
      </c>
      <c r="J52" s="11" t="s">
        <v>794</v>
      </c>
      <c r="K52" s="11"/>
      <c r="L52" s="11"/>
    </row>
    <row r="53" spans="2:12" x14ac:dyDescent="0.3">
      <c r="B53" s="10">
        <v>51</v>
      </c>
      <c r="C53" s="26"/>
      <c r="D53" s="26"/>
      <c r="E53" s="11" t="s">
        <v>539</v>
      </c>
      <c r="F53" s="11" t="s">
        <v>334</v>
      </c>
      <c r="G53" s="11" t="s">
        <v>726</v>
      </c>
      <c r="H53" s="10" t="s">
        <v>355</v>
      </c>
      <c r="I53" s="10" t="s">
        <v>793</v>
      </c>
      <c r="J53" s="11" t="s">
        <v>794</v>
      </c>
      <c r="K53" s="11"/>
      <c r="L53" s="11"/>
    </row>
    <row r="54" spans="2:12" x14ac:dyDescent="0.3">
      <c r="B54" s="10">
        <v>52</v>
      </c>
      <c r="C54" s="26"/>
      <c r="D54" s="26"/>
      <c r="E54" s="11" t="s">
        <v>726</v>
      </c>
      <c r="F54" s="11" t="s">
        <v>334</v>
      </c>
      <c r="G54" s="11" t="s">
        <v>398</v>
      </c>
      <c r="H54" s="10" t="s">
        <v>355</v>
      </c>
      <c r="I54" s="10" t="s">
        <v>793</v>
      </c>
      <c r="J54" s="11" t="s">
        <v>794</v>
      </c>
      <c r="K54" s="11"/>
      <c r="L54" s="11"/>
    </row>
    <row r="55" spans="2:12" x14ac:dyDescent="0.3">
      <c r="B55" s="10">
        <v>53</v>
      </c>
      <c r="C55" s="26"/>
      <c r="D55" s="26"/>
      <c r="E55" s="11" t="s">
        <v>169</v>
      </c>
      <c r="F55" s="11" t="s">
        <v>220</v>
      </c>
      <c r="G55" s="11" t="s">
        <v>606</v>
      </c>
      <c r="H55" s="10" t="s">
        <v>355</v>
      </c>
      <c r="I55" s="10" t="s">
        <v>793</v>
      </c>
      <c r="J55" s="11" t="s">
        <v>794</v>
      </c>
      <c r="K55" s="11"/>
      <c r="L55" s="11"/>
    </row>
    <row r="56" spans="2:12" x14ac:dyDescent="0.3">
      <c r="B56" s="10">
        <v>54</v>
      </c>
      <c r="C56" s="26"/>
      <c r="D56" s="26"/>
      <c r="E56" s="11" t="s">
        <v>285</v>
      </c>
      <c r="F56" s="11" t="s">
        <v>560</v>
      </c>
      <c r="G56" s="11" t="s">
        <v>185</v>
      </c>
      <c r="H56" s="10" t="s">
        <v>355</v>
      </c>
      <c r="I56" s="10" t="s">
        <v>793</v>
      </c>
      <c r="J56" s="11" t="s">
        <v>794</v>
      </c>
      <c r="K56" s="11"/>
      <c r="L56" s="11"/>
    </row>
    <row r="57" spans="2:12" x14ac:dyDescent="0.3">
      <c r="B57" s="10">
        <v>55</v>
      </c>
      <c r="C57" s="26"/>
      <c r="D57" s="26"/>
      <c r="E57" s="11" t="s">
        <v>285</v>
      </c>
      <c r="F57" s="11" t="s">
        <v>367</v>
      </c>
      <c r="G57" s="11" t="s">
        <v>606</v>
      </c>
      <c r="H57" s="10" t="s">
        <v>355</v>
      </c>
      <c r="I57" s="10" t="s">
        <v>793</v>
      </c>
      <c r="J57" s="11" t="s">
        <v>794</v>
      </c>
      <c r="K57" s="11"/>
      <c r="L57" s="11"/>
    </row>
    <row r="58" spans="2:12" ht="36" x14ac:dyDescent="0.3">
      <c r="B58" s="10">
        <v>56</v>
      </c>
      <c r="C58" s="26"/>
      <c r="D58" s="26"/>
      <c r="E58" s="11" t="s">
        <v>185</v>
      </c>
      <c r="F58" s="11" t="s">
        <v>190</v>
      </c>
      <c r="G58" s="11" t="s">
        <v>13</v>
      </c>
      <c r="H58" s="10" t="s">
        <v>355</v>
      </c>
      <c r="I58" s="10" t="s">
        <v>793</v>
      </c>
      <c r="J58" s="11" t="s">
        <v>794</v>
      </c>
      <c r="K58" s="11"/>
      <c r="L58" s="11"/>
    </row>
    <row r="59" spans="2:12" ht="36" x14ac:dyDescent="0.3">
      <c r="B59" s="10">
        <v>57</v>
      </c>
      <c r="C59" s="26"/>
      <c r="D59" s="26"/>
      <c r="E59" s="11" t="s">
        <v>185</v>
      </c>
      <c r="F59" s="11" t="s">
        <v>192</v>
      </c>
      <c r="G59" s="11" t="s">
        <v>16</v>
      </c>
      <c r="H59" s="10" t="s">
        <v>355</v>
      </c>
      <c r="I59" s="10" t="s">
        <v>793</v>
      </c>
      <c r="J59" s="11" t="s">
        <v>794</v>
      </c>
      <c r="K59" s="11"/>
      <c r="L59" s="11"/>
    </row>
    <row r="60" spans="2:12" ht="36" x14ac:dyDescent="0.3">
      <c r="B60" s="10">
        <v>58</v>
      </c>
      <c r="C60" s="26"/>
      <c r="D60" s="26"/>
      <c r="E60" s="11" t="s">
        <v>185</v>
      </c>
      <c r="F60" s="11" t="s">
        <v>214</v>
      </c>
      <c r="G60" s="11" t="s">
        <v>14</v>
      </c>
      <c r="H60" s="10" t="s">
        <v>355</v>
      </c>
      <c r="I60" s="10" t="s">
        <v>793</v>
      </c>
      <c r="J60" s="11" t="s">
        <v>794</v>
      </c>
      <c r="K60" s="11"/>
      <c r="L60" s="11"/>
    </row>
    <row r="61" spans="2:12" ht="36" x14ac:dyDescent="0.3">
      <c r="B61" s="10">
        <v>59</v>
      </c>
      <c r="C61" s="26"/>
      <c r="D61" s="26"/>
      <c r="E61" s="11" t="s">
        <v>185</v>
      </c>
      <c r="F61" s="11" t="s">
        <v>203</v>
      </c>
      <c r="G61" s="11" t="s">
        <v>12</v>
      </c>
      <c r="H61" s="10" t="s">
        <v>355</v>
      </c>
      <c r="I61" s="10" t="s">
        <v>793</v>
      </c>
      <c r="J61" s="11" t="s">
        <v>794</v>
      </c>
      <c r="K61" s="11"/>
      <c r="L61" s="11"/>
    </row>
    <row r="62" spans="2:12" ht="36" x14ac:dyDescent="0.3">
      <c r="B62" s="10">
        <v>60</v>
      </c>
      <c r="C62" s="26"/>
      <c r="D62" s="26"/>
      <c r="E62" s="11" t="s">
        <v>185</v>
      </c>
      <c r="F62" s="11" t="s">
        <v>204</v>
      </c>
      <c r="G62" s="11" t="s">
        <v>301</v>
      </c>
      <c r="H62" s="10" t="s">
        <v>355</v>
      </c>
      <c r="I62" s="10" t="s">
        <v>793</v>
      </c>
      <c r="J62" s="11" t="s">
        <v>794</v>
      </c>
      <c r="K62" s="11"/>
      <c r="L62" s="11"/>
    </row>
    <row r="63" spans="2:12" x14ac:dyDescent="0.3">
      <c r="B63" s="10">
        <v>61</v>
      </c>
      <c r="C63" s="26"/>
      <c r="D63" s="26"/>
      <c r="E63" s="11" t="s">
        <v>185</v>
      </c>
      <c r="F63" s="11" t="s">
        <v>453</v>
      </c>
      <c r="G63" s="11" t="s">
        <v>199</v>
      </c>
      <c r="H63" s="10" t="s">
        <v>355</v>
      </c>
      <c r="I63" s="10" t="s">
        <v>793</v>
      </c>
      <c r="J63" s="11" t="s">
        <v>794</v>
      </c>
      <c r="K63" s="11"/>
      <c r="L63" s="11"/>
    </row>
    <row r="64" spans="2:12" x14ac:dyDescent="0.3">
      <c r="B64" s="10">
        <v>62</v>
      </c>
      <c r="C64" s="26"/>
      <c r="D64" s="26"/>
      <c r="E64" s="11" t="s">
        <v>755</v>
      </c>
      <c r="F64" s="11" t="s">
        <v>441</v>
      </c>
      <c r="G64" s="11" t="s">
        <v>534</v>
      </c>
      <c r="H64" s="10" t="s">
        <v>355</v>
      </c>
      <c r="I64" s="10" t="s">
        <v>793</v>
      </c>
      <c r="J64" s="11" t="s">
        <v>794</v>
      </c>
      <c r="K64" s="11"/>
      <c r="L64" s="11"/>
    </row>
    <row r="65" spans="2:12" x14ac:dyDescent="0.3">
      <c r="B65" s="10">
        <v>63</v>
      </c>
      <c r="C65" s="26"/>
      <c r="D65" s="26"/>
      <c r="E65" s="11" t="s">
        <v>202</v>
      </c>
      <c r="F65" s="11"/>
      <c r="G65" s="11"/>
      <c r="H65" s="10" t="s">
        <v>355</v>
      </c>
      <c r="I65" s="10" t="s">
        <v>793</v>
      </c>
      <c r="J65" s="11" t="s">
        <v>794</v>
      </c>
      <c r="K65" s="11"/>
      <c r="L65" s="11"/>
    </row>
    <row r="66" spans="2:12" x14ac:dyDescent="0.3">
      <c r="B66" s="10">
        <v>64</v>
      </c>
      <c r="C66" s="26"/>
      <c r="D66" s="26"/>
      <c r="E66" s="11" t="s">
        <v>196</v>
      </c>
      <c r="F66" s="11" t="s">
        <v>219</v>
      </c>
      <c r="G66" s="11" t="s">
        <v>732</v>
      </c>
      <c r="H66" s="10" t="s">
        <v>355</v>
      </c>
      <c r="I66" s="10" t="s">
        <v>793</v>
      </c>
      <c r="J66" s="11" t="s">
        <v>794</v>
      </c>
      <c r="K66" s="11"/>
      <c r="L66" s="11"/>
    </row>
    <row r="67" spans="2:12" ht="24" x14ac:dyDescent="0.3">
      <c r="B67" s="10">
        <v>65</v>
      </c>
      <c r="C67" s="26"/>
      <c r="D67" s="26"/>
      <c r="E67" s="11" t="s">
        <v>196</v>
      </c>
      <c r="F67" s="11" t="s">
        <v>558</v>
      </c>
      <c r="G67" s="11" t="s">
        <v>424</v>
      </c>
      <c r="H67" s="10" t="s">
        <v>355</v>
      </c>
      <c r="I67" s="10" t="s">
        <v>793</v>
      </c>
      <c r="J67" s="11" t="s">
        <v>794</v>
      </c>
      <c r="K67" s="11"/>
      <c r="L67" s="11"/>
    </row>
    <row r="68" spans="2:12" x14ac:dyDescent="0.3">
      <c r="B68" s="10">
        <v>66</v>
      </c>
      <c r="C68" s="26"/>
      <c r="D68" s="26"/>
      <c r="E68" s="11" t="s">
        <v>732</v>
      </c>
      <c r="F68" s="11" t="s">
        <v>559</v>
      </c>
      <c r="G68" s="11" t="s">
        <v>728</v>
      </c>
      <c r="H68" s="10" t="s">
        <v>355</v>
      </c>
      <c r="I68" s="10" t="s">
        <v>793</v>
      </c>
      <c r="J68" s="11" t="s">
        <v>794</v>
      </c>
      <c r="K68" s="11"/>
      <c r="L68" s="11"/>
    </row>
    <row r="69" spans="2:12" ht="24" x14ac:dyDescent="0.3">
      <c r="B69" s="10">
        <v>67</v>
      </c>
      <c r="C69" s="26"/>
      <c r="D69" s="26"/>
      <c r="E69" s="11" t="s">
        <v>732</v>
      </c>
      <c r="F69" s="11" t="s">
        <v>354</v>
      </c>
      <c r="G69" s="11" t="s">
        <v>424</v>
      </c>
      <c r="H69" s="10" t="s">
        <v>355</v>
      </c>
      <c r="I69" s="10" t="s">
        <v>793</v>
      </c>
      <c r="J69" s="11" t="s">
        <v>794</v>
      </c>
      <c r="K69" s="11"/>
      <c r="L69" s="11"/>
    </row>
    <row r="70" spans="2:12" x14ac:dyDescent="0.3">
      <c r="B70" s="10">
        <v>68</v>
      </c>
      <c r="C70" s="26"/>
      <c r="D70" s="26"/>
      <c r="E70" s="11" t="s">
        <v>773</v>
      </c>
      <c r="F70" s="11" t="s">
        <v>336</v>
      </c>
      <c r="G70" s="11" t="s">
        <v>199</v>
      </c>
      <c r="H70" s="10" t="s">
        <v>355</v>
      </c>
      <c r="I70" s="10" t="s">
        <v>793</v>
      </c>
      <c r="J70" s="11" t="s">
        <v>794</v>
      </c>
      <c r="K70" s="11"/>
      <c r="L70" s="11"/>
    </row>
    <row r="71" spans="2:12" ht="24" x14ac:dyDescent="0.3">
      <c r="B71" s="10">
        <v>69</v>
      </c>
      <c r="C71" s="26"/>
      <c r="D71" s="26"/>
      <c r="E71" s="11" t="s">
        <v>773</v>
      </c>
      <c r="F71" s="11" t="s">
        <v>139</v>
      </c>
      <c r="G71" s="11" t="s">
        <v>293</v>
      </c>
      <c r="H71" s="10" t="s">
        <v>355</v>
      </c>
      <c r="I71" s="10" t="s">
        <v>793</v>
      </c>
      <c r="J71" s="11" t="s">
        <v>794</v>
      </c>
      <c r="K71" s="11"/>
      <c r="L71" s="11"/>
    </row>
    <row r="72" spans="2:12" x14ac:dyDescent="0.3">
      <c r="B72" s="10">
        <v>70</v>
      </c>
      <c r="C72" s="26"/>
      <c r="D72" s="26"/>
      <c r="E72" s="11" t="s">
        <v>199</v>
      </c>
      <c r="F72" s="11" t="s">
        <v>331</v>
      </c>
      <c r="G72" s="11" t="s">
        <v>29</v>
      </c>
      <c r="H72" s="10" t="s">
        <v>355</v>
      </c>
      <c r="I72" s="10" t="s">
        <v>793</v>
      </c>
      <c r="J72" s="11" t="s">
        <v>794</v>
      </c>
      <c r="K72" s="11"/>
      <c r="L72" s="11"/>
    </row>
    <row r="73" spans="2:12" x14ac:dyDescent="0.3">
      <c r="B73" s="10">
        <v>71</v>
      </c>
      <c r="C73" s="26"/>
      <c r="D73" s="26"/>
      <c r="E73" s="11" t="s">
        <v>528</v>
      </c>
      <c r="F73" s="11"/>
      <c r="G73" s="11" t="s">
        <v>25</v>
      </c>
      <c r="H73" s="10" t="s">
        <v>355</v>
      </c>
      <c r="I73" s="10" t="s">
        <v>793</v>
      </c>
      <c r="J73" s="11" t="s">
        <v>794</v>
      </c>
      <c r="K73" s="11"/>
      <c r="L73" s="11"/>
    </row>
    <row r="74" spans="2:12" x14ac:dyDescent="0.3">
      <c r="B74" s="10">
        <v>72</v>
      </c>
      <c r="C74" s="26"/>
      <c r="D74" s="26"/>
      <c r="E74" s="11" t="s">
        <v>191</v>
      </c>
      <c r="F74" s="11" t="s">
        <v>605</v>
      </c>
      <c r="G74" s="11" t="s">
        <v>605</v>
      </c>
      <c r="H74" s="10" t="s">
        <v>355</v>
      </c>
      <c r="I74" s="10" t="s">
        <v>793</v>
      </c>
      <c r="J74" s="11" t="s">
        <v>794</v>
      </c>
      <c r="K74" s="11"/>
      <c r="L74" s="11"/>
    </row>
    <row r="75" spans="2:12" x14ac:dyDescent="0.3">
      <c r="B75" s="10">
        <v>73</v>
      </c>
      <c r="C75" s="26"/>
      <c r="D75" s="26"/>
      <c r="E75" s="11" t="s">
        <v>188</v>
      </c>
      <c r="F75" s="11" t="s">
        <v>762</v>
      </c>
      <c r="G75" s="11" t="s">
        <v>446</v>
      </c>
      <c r="H75" s="10" t="s">
        <v>355</v>
      </c>
      <c r="I75" s="10" t="s">
        <v>793</v>
      </c>
      <c r="J75" s="11" t="s">
        <v>794</v>
      </c>
      <c r="K75" s="11"/>
      <c r="L75" s="11"/>
    </row>
    <row r="76" spans="2:12" x14ac:dyDescent="0.3">
      <c r="B76" s="10">
        <v>74</v>
      </c>
      <c r="C76" s="26"/>
      <c r="D76" s="26"/>
      <c r="E76" s="11" t="s">
        <v>188</v>
      </c>
      <c r="F76" s="11" t="s">
        <v>349</v>
      </c>
      <c r="G76" s="11" t="s">
        <v>359</v>
      </c>
      <c r="H76" s="10" t="s">
        <v>355</v>
      </c>
      <c r="I76" s="10" t="s">
        <v>793</v>
      </c>
      <c r="J76" s="11" t="s">
        <v>794</v>
      </c>
      <c r="K76" s="11"/>
      <c r="L76" s="11"/>
    </row>
    <row r="77" spans="2:12" x14ac:dyDescent="0.3">
      <c r="H77" s="1"/>
    </row>
    <row r="78" spans="2:12" x14ac:dyDescent="0.3">
      <c r="H78" s="1"/>
    </row>
    <row r="79" spans="2:12" x14ac:dyDescent="0.3">
      <c r="H79" s="1"/>
    </row>
    <row r="80" spans="2:12" x14ac:dyDescent="0.3">
      <c r="H80" s="1"/>
    </row>
    <row r="81" spans="8:8" x14ac:dyDescent="0.3">
      <c r="H81" s="1"/>
    </row>
    <row r="82" spans="8:8" x14ac:dyDescent="0.3">
      <c r="H82" s="1"/>
    </row>
    <row r="83" spans="8:8" x14ac:dyDescent="0.3">
      <c r="H83" s="1"/>
    </row>
    <row r="84" spans="8:8" x14ac:dyDescent="0.3">
      <c r="H84" s="1"/>
    </row>
    <row r="85" spans="8:8" x14ac:dyDescent="0.3">
      <c r="H85" s="1"/>
    </row>
    <row r="86" spans="8:8" x14ac:dyDescent="0.3">
      <c r="H86" s="1"/>
    </row>
    <row r="87" spans="8:8" x14ac:dyDescent="0.3">
      <c r="H87" s="1"/>
    </row>
    <row r="88" spans="8:8" x14ac:dyDescent="0.3">
      <c r="H88" s="1"/>
    </row>
    <row r="89" spans="8:8" x14ac:dyDescent="0.3">
      <c r="H89" s="1"/>
    </row>
    <row r="90" spans="8:8" x14ac:dyDescent="0.3">
      <c r="H90" s="1"/>
    </row>
    <row r="91" spans="8:8" x14ac:dyDescent="0.3">
      <c r="H91" s="1"/>
    </row>
    <row r="92" spans="8:8" x14ac:dyDescent="0.3">
      <c r="H92" s="1"/>
    </row>
    <row r="93" spans="8:8" x14ac:dyDescent="0.3">
      <c r="H93" s="1"/>
    </row>
    <row r="94" spans="8:8" x14ac:dyDescent="0.3">
      <c r="H94" s="1"/>
    </row>
    <row r="95" spans="8:8" x14ac:dyDescent="0.3">
      <c r="H95" s="1"/>
    </row>
    <row r="96" spans="8:8" x14ac:dyDescent="0.3">
      <c r="H96" s="1"/>
    </row>
    <row r="97" spans="8:8" x14ac:dyDescent="0.3">
      <c r="H97" s="1"/>
    </row>
    <row r="98" spans="8:8" x14ac:dyDescent="0.3">
      <c r="H98" s="1"/>
    </row>
    <row r="99" spans="8:8" x14ac:dyDescent="0.3">
      <c r="H99" s="1"/>
    </row>
    <row r="100" spans="8:8" x14ac:dyDescent="0.3">
      <c r="H100" s="1"/>
    </row>
    <row r="101" spans="8:8" x14ac:dyDescent="0.3">
      <c r="H101" s="1"/>
    </row>
    <row r="102" spans="8:8" x14ac:dyDescent="0.3">
      <c r="H102" s="1"/>
    </row>
    <row r="103" spans="8:8" x14ac:dyDescent="0.3">
      <c r="H103" s="1"/>
    </row>
    <row r="104" spans="8:8" x14ac:dyDescent="0.3">
      <c r="H104" s="1"/>
    </row>
    <row r="105" spans="8:8" x14ac:dyDescent="0.3">
      <c r="H105" s="1"/>
    </row>
    <row r="106" spans="8:8" x14ac:dyDescent="0.3">
      <c r="H106" s="1"/>
    </row>
    <row r="107" spans="8:8" x14ac:dyDescent="0.3">
      <c r="H107" s="1"/>
    </row>
    <row r="108" spans="8:8" x14ac:dyDescent="0.3">
      <c r="H108" s="1"/>
    </row>
    <row r="109" spans="8:8" x14ac:dyDescent="0.3">
      <c r="H109" s="1"/>
    </row>
    <row r="110" spans="8:8" x14ac:dyDescent="0.3">
      <c r="H110" s="1"/>
    </row>
    <row r="111" spans="8:8" x14ac:dyDescent="0.3">
      <c r="H111" s="1"/>
    </row>
    <row r="112" spans="8:8" x14ac:dyDescent="0.3">
      <c r="H112" s="1"/>
    </row>
    <row r="113" spans="8:8" x14ac:dyDescent="0.3">
      <c r="H113" s="1"/>
    </row>
    <row r="114" spans="8:8" x14ac:dyDescent="0.3">
      <c r="H114" s="1"/>
    </row>
    <row r="115" spans="8:8" x14ac:dyDescent="0.3">
      <c r="H115" s="1"/>
    </row>
    <row r="116" spans="8:8" x14ac:dyDescent="0.3">
      <c r="H116" s="1"/>
    </row>
    <row r="117" spans="8:8" x14ac:dyDescent="0.3">
      <c r="H117" s="1"/>
    </row>
    <row r="118" spans="8:8" x14ac:dyDescent="0.3">
      <c r="H118" s="1"/>
    </row>
    <row r="119" spans="8:8" x14ac:dyDescent="0.3">
      <c r="H119" s="1"/>
    </row>
    <row r="120" spans="8:8" x14ac:dyDescent="0.3">
      <c r="H120" s="1"/>
    </row>
    <row r="121" spans="8:8" x14ac:dyDescent="0.3">
      <c r="H121" s="1"/>
    </row>
    <row r="122" spans="8:8" x14ac:dyDescent="0.3">
      <c r="H122" s="1"/>
    </row>
    <row r="123" spans="8:8" x14ac:dyDescent="0.3">
      <c r="H123" s="1"/>
    </row>
    <row r="124" spans="8:8" x14ac:dyDescent="0.3">
      <c r="H124" s="1"/>
    </row>
    <row r="125" spans="8:8" x14ac:dyDescent="0.3">
      <c r="H125" s="1"/>
    </row>
    <row r="126" spans="8:8" x14ac:dyDescent="0.3">
      <c r="H126" s="1"/>
    </row>
    <row r="127" spans="8:8" x14ac:dyDescent="0.3">
      <c r="H127" s="1"/>
    </row>
    <row r="128" spans="8:8" x14ac:dyDescent="0.3">
      <c r="H128" s="1"/>
    </row>
    <row r="129" spans="8:8" x14ac:dyDescent="0.3">
      <c r="H129" s="1"/>
    </row>
    <row r="130" spans="8:8" x14ac:dyDescent="0.3">
      <c r="H130" s="1"/>
    </row>
    <row r="131" spans="8:8" x14ac:dyDescent="0.3">
      <c r="H131" s="1"/>
    </row>
    <row r="132" spans="8:8" x14ac:dyDescent="0.3">
      <c r="H132" s="1"/>
    </row>
    <row r="133" spans="8:8" x14ac:dyDescent="0.3">
      <c r="H133" s="1"/>
    </row>
    <row r="134" spans="8:8" x14ac:dyDescent="0.3">
      <c r="H134" s="1"/>
    </row>
    <row r="135" spans="8:8" x14ac:dyDescent="0.3">
      <c r="H135" s="1"/>
    </row>
    <row r="136" spans="8:8" x14ac:dyDescent="0.3">
      <c r="H136" s="1"/>
    </row>
    <row r="137" spans="8:8" x14ac:dyDescent="0.3">
      <c r="H137" s="1"/>
    </row>
    <row r="138" spans="8:8" x14ac:dyDescent="0.3">
      <c r="H138" s="1"/>
    </row>
  </sheetData>
  <mergeCells count="3">
    <mergeCell ref="C3:C76"/>
    <mergeCell ref="D3:D24"/>
    <mergeCell ref="D25:D76"/>
  </mergeCells>
  <phoneticPr fontId="6" type="noConversion"/>
  <conditionalFormatting sqref="H3:H151">
    <cfRule type="cellIs" dxfId="9" priority="1" operator="equal">
      <formula>"Blocked"</formula>
    </cfRule>
    <cfRule type="cellIs" dxfId="8" priority="2" operator="equal">
      <formula>"Fail"</formula>
    </cfRule>
    <cfRule type="cellIs" dxfId="7" priority="3" operator="equal">
      <formula>"Pass"</formula>
    </cfRule>
    <cfRule type="cellIs" dxfId="6" priority="4" operator="equal">
      <formula>"Not Tested"</formula>
    </cfRule>
    <cfRule type="cellIs" dxfId="5" priority="5" operator="equal">
      <formula>"N/A"</formula>
    </cfRule>
  </conditionalFormatting>
  <dataValidations disablePrompts="1" count="2">
    <dataValidation type="list" allowBlank="1" showInputMessage="1" showErrorMessage="1" sqref="H3:H137" xr:uid="{00000000-0002-0000-0200-000000000000}">
      <formula1>$N$3:$N$7</formula1>
    </dataValidation>
    <dataValidation type="list" allowBlank="1" showInputMessage="1" showErrorMessage="1" sqref="N3:N7" xr:uid="{00000000-0002-0000-0200-000001000000}">
      <formula1>$N$3</formula1>
    </dataValidation>
  </dataValidations>
  <pageMargins left="0.74805557727813721" right="0.74805557727813721" top="0.98430556058883667" bottom="0.98430556058883667" header="0.51138889789581299" footer="0.51138889789581299"/>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000000"/>
  </sheetPr>
  <dimension ref="A2:N138"/>
  <sheetViews>
    <sheetView showGridLines="0" topLeftCell="A2" zoomScaleNormal="100" zoomScaleSheetLayoutView="100" workbookViewId="0">
      <pane ySplit="1" topLeftCell="A3" activePane="bottomLeft" state="frozen"/>
      <selection pane="bottomLeft" activeCell="K2" sqref="K2"/>
    </sheetView>
  </sheetViews>
  <sheetFormatPr defaultColWidth="9" defaultRowHeight="12" x14ac:dyDescent="0.3"/>
  <cols>
    <col min="1" max="1" width="0.625" style="1" customWidth="1"/>
    <col min="2" max="2" width="9" style="1" bestFit="1" customWidth="1"/>
    <col min="3" max="3" width="20" style="2" customWidth="1"/>
    <col min="4" max="4" width="30" style="2" customWidth="1"/>
    <col min="5" max="7" width="45" style="3" customWidth="1"/>
    <col min="8" max="8" width="9.25" style="3" bestFit="1" customWidth="1"/>
    <col min="9" max="9" width="13" style="1" bestFit="1" customWidth="1"/>
    <col min="10" max="10" width="9.25" style="3" bestFit="1" customWidth="1"/>
    <col min="11" max="11" width="7.75" style="3" bestFit="1" customWidth="1"/>
    <col min="12" max="12" width="23.75" style="3" customWidth="1"/>
    <col min="13" max="16384" width="9" style="3"/>
  </cols>
  <sheetData>
    <row r="2" spans="2:14" s="2" customFormat="1" x14ac:dyDescent="0.3">
      <c r="B2" s="9" t="s">
        <v>365</v>
      </c>
      <c r="C2" s="9" t="s">
        <v>84</v>
      </c>
      <c r="D2" s="9" t="s">
        <v>83</v>
      </c>
      <c r="E2" s="9" t="s">
        <v>314</v>
      </c>
      <c r="F2" s="9" t="s">
        <v>360</v>
      </c>
      <c r="G2" s="9" t="s">
        <v>319</v>
      </c>
      <c r="H2" s="9" t="s">
        <v>335</v>
      </c>
      <c r="I2" s="9" t="s">
        <v>329</v>
      </c>
      <c r="J2" s="9" t="s">
        <v>333</v>
      </c>
      <c r="K2" s="9" t="s">
        <v>324</v>
      </c>
      <c r="L2" s="9" t="s">
        <v>361</v>
      </c>
    </row>
    <row r="3" spans="2:14" x14ac:dyDescent="0.3">
      <c r="B3" s="10">
        <v>1</v>
      </c>
      <c r="C3" s="26" t="s">
        <v>77</v>
      </c>
      <c r="D3" s="25" t="s">
        <v>76</v>
      </c>
      <c r="E3" s="11" t="s">
        <v>658</v>
      </c>
      <c r="F3" s="11" t="s">
        <v>557</v>
      </c>
      <c r="G3" s="11" t="s">
        <v>731</v>
      </c>
      <c r="H3" s="10" t="s">
        <v>363</v>
      </c>
      <c r="I3" s="10" t="s">
        <v>793</v>
      </c>
      <c r="J3" s="11" t="s">
        <v>797</v>
      </c>
      <c r="K3" s="11"/>
      <c r="L3" s="11"/>
      <c r="N3" s="4" t="s">
        <v>355</v>
      </c>
    </row>
    <row r="4" spans="2:14" x14ac:dyDescent="0.3">
      <c r="B4" s="10">
        <v>2</v>
      </c>
      <c r="C4" s="26"/>
      <c r="D4" s="25"/>
      <c r="E4" s="11" t="s">
        <v>657</v>
      </c>
      <c r="F4" s="11" t="s">
        <v>280</v>
      </c>
      <c r="G4" s="11" t="s">
        <v>236</v>
      </c>
      <c r="H4" s="10" t="s">
        <v>363</v>
      </c>
      <c r="I4" s="10" t="s">
        <v>793</v>
      </c>
      <c r="J4" s="11" t="s">
        <v>797</v>
      </c>
      <c r="K4" s="11"/>
      <c r="L4" s="11"/>
      <c r="N4" s="4" t="s">
        <v>363</v>
      </c>
    </row>
    <row r="5" spans="2:14" ht="24" x14ac:dyDescent="0.3">
      <c r="B5" s="10">
        <v>3</v>
      </c>
      <c r="C5" s="26"/>
      <c r="D5" s="26" t="s">
        <v>82</v>
      </c>
      <c r="E5" s="11" t="s">
        <v>347</v>
      </c>
      <c r="F5" s="11" t="s">
        <v>480</v>
      </c>
      <c r="G5" s="11" t="s">
        <v>0</v>
      </c>
      <c r="H5" s="10" t="s">
        <v>355</v>
      </c>
      <c r="I5" s="10" t="s">
        <v>793</v>
      </c>
      <c r="J5" s="11" t="s">
        <v>796</v>
      </c>
      <c r="K5" s="11"/>
      <c r="L5" s="11"/>
      <c r="N5" s="4" t="s">
        <v>353</v>
      </c>
    </row>
    <row r="6" spans="2:14" x14ac:dyDescent="0.3">
      <c r="B6" s="10">
        <v>4</v>
      </c>
      <c r="C6" s="26"/>
      <c r="D6" s="26"/>
      <c r="E6" s="11" t="s">
        <v>567</v>
      </c>
      <c r="F6" s="11" t="s">
        <v>206</v>
      </c>
      <c r="G6" s="11" t="s">
        <v>206</v>
      </c>
      <c r="H6" s="10" t="s">
        <v>355</v>
      </c>
      <c r="I6" s="10" t="s">
        <v>793</v>
      </c>
      <c r="J6" s="11" t="s">
        <v>796</v>
      </c>
      <c r="K6" s="11"/>
      <c r="L6" s="11"/>
      <c r="N6" s="4" t="s">
        <v>556</v>
      </c>
    </row>
    <row r="7" spans="2:14" ht="24" x14ac:dyDescent="0.3">
      <c r="B7" s="10">
        <v>5</v>
      </c>
      <c r="C7" s="26"/>
      <c r="D7" s="26"/>
      <c r="E7" s="11" t="s">
        <v>64</v>
      </c>
      <c r="F7" s="11" t="s">
        <v>564</v>
      </c>
      <c r="G7" s="11" t="s">
        <v>718</v>
      </c>
      <c r="H7" s="10" t="s">
        <v>355</v>
      </c>
      <c r="I7" s="10" t="s">
        <v>793</v>
      </c>
      <c r="J7" s="11" t="s">
        <v>796</v>
      </c>
      <c r="K7" s="11"/>
      <c r="L7" s="11"/>
      <c r="N7" s="4" t="s">
        <v>72</v>
      </c>
    </row>
    <row r="8" spans="2:14" x14ac:dyDescent="0.3">
      <c r="B8" s="10">
        <v>6</v>
      </c>
      <c r="C8" s="26"/>
      <c r="D8" s="26"/>
      <c r="E8" s="11" t="s">
        <v>537</v>
      </c>
      <c r="F8" s="11" t="s">
        <v>206</v>
      </c>
      <c r="G8" s="11" t="s">
        <v>206</v>
      </c>
      <c r="H8" s="10" t="s">
        <v>355</v>
      </c>
      <c r="I8" s="10" t="s">
        <v>793</v>
      </c>
      <c r="J8" s="11" t="s">
        <v>796</v>
      </c>
      <c r="K8" s="11"/>
      <c r="L8" s="11"/>
    </row>
    <row r="9" spans="2:14" x14ac:dyDescent="0.3">
      <c r="B9" s="10">
        <v>7</v>
      </c>
      <c r="C9" s="26"/>
      <c r="D9" s="26"/>
      <c r="E9" s="11" t="s">
        <v>712</v>
      </c>
      <c r="F9" s="11" t="s">
        <v>587</v>
      </c>
      <c r="G9" s="11" t="s">
        <v>150</v>
      </c>
      <c r="H9" s="10" t="s">
        <v>355</v>
      </c>
      <c r="I9" s="10" t="s">
        <v>793</v>
      </c>
      <c r="J9" s="11" t="s">
        <v>796</v>
      </c>
      <c r="K9" s="11"/>
      <c r="L9" s="11"/>
    </row>
    <row r="10" spans="2:14" ht="36" x14ac:dyDescent="0.3">
      <c r="B10" s="10">
        <v>8</v>
      </c>
      <c r="C10" s="26"/>
      <c r="D10" s="26" t="s">
        <v>548</v>
      </c>
      <c r="E10" s="11" t="s">
        <v>372</v>
      </c>
      <c r="F10" s="11" t="s">
        <v>43</v>
      </c>
      <c r="G10" s="11" t="s">
        <v>484</v>
      </c>
      <c r="H10" s="10" t="s">
        <v>355</v>
      </c>
      <c r="I10" s="10" t="s">
        <v>793</v>
      </c>
      <c r="J10" s="11" t="s">
        <v>796</v>
      </c>
      <c r="K10" s="11"/>
      <c r="L10" s="11"/>
    </row>
    <row r="11" spans="2:14" ht="24" x14ac:dyDescent="0.3">
      <c r="B11" s="10">
        <v>9</v>
      </c>
      <c r="C11" s="26"/>
      <c r="D11" s="26"/>
      <c r="E11" s="11" t="s">
        <v>431</v>
      </c>
      <c r="F11" s="11" t="s">
        <v>38</v>
      </c>
      <c r="G11" s="11" t="s">
        <v>189</v>
      </c>
      <c r="H11" s="10" t="s">
        <v>355</v>
      </c>
      <c r="I11" s="10" t="s">
        <v>793</v>
      </c>
      <c r="J11" s="11" t="s">
        <v>796</v>
      </c>
      <c r="K11" s="11"/>
      <c r="L11" s="11"/>
    </row>
    <row r="12" spans="2:14" ht="48" x14ac:dyDescent="0.3">
      <c r="B12" s="10">
        <v>10</v>
      </c>
      <c r="C12" s="26"/>
      <c r="D12" s="26"/>
      <c r="E12" s="11" t="s">
        <v>304</v>
      </c>
      <c r="F12" s="11" t="s">
        <v>291</v>
      </c>
      <c r="G12" s="11" t="s">
        <v>4</v>
      </c>
      <c r="H12" s="10" t="s">
        <v>355</v>
      </c>
      <c r="I12" s="10" t="s">
        <v>793</v>
      </c>
      <c r="J12" s="11" t="s">
        <v>796</v>
      </c>
      <c r="K12" s="11"/>
      <c r="L12" s="11"/>
    </row>
    <row r="13" spans="2:14" ht="48" x14ac:dyDescent="0.3">
      <c r="B13" s="10">
        <v>11</v>
      </c>
      <c r="C13" s="26"/>
      <c r="D13" s="26"/>
      <c r="E13" s="11" t="s">
        <v>427</v>
      </c>
      <c r="F13" s="11" t="s">
        <v>7</v>
      </c>
      <c r="G13" s="11" t="s">
        <v>590</v>
      </c>
      <c r="H13" s="10" t="s">
        <v>355</v>
      </c>
      <c r="I13" s="10" t="s">
        <v>793</v>
      </c>
      <c r="J13" s="11" t="s">
        <v>796</v>
      </c>
      <c r="K13" s="11"/>
      <c r="L13" s="11"/>
    </row>
    <row r="14" spans="2:14" ht="24" x14ac:dyDescent="0.3">
      <c r="B14" s="10">
        <v>12</v>
      </c>
      <c r="C14" s="26"/>
      <c r="D14" s="26"/>
      <c r="E14" s="11" t="s">
        <v>428</v>
      </c>
      <c r="F14" s="11" t="s">
        <v>296</v>
      </c>
      <c r="G14" s="11" t="s">
        <v>155</v>
      </c>
      <c r="H14" s="10" t="s">
        <v>355</v>
      </c>
      <c r="I14" s="10" t="s">
        <v>793</v>
      </c>
      <c r="J14" s="11" t="s">
        <v>796</v>
      </c>
      <c r="K14" s="11"/>
      <c r="L14" s="11"/>
    </row>
    <row r="15" spans="2:14" ht="24" x14ac:dyDescent="0.3">
      <c r="B15" s="10">
        <v>13</v>
      </c>
      <c r="C15" s="26"/>
      <c r="D15" s="26"/>
      <c r="E15" s="11" t="s">
        <v>430</v>
      </c>
      <c r="F15" s="11" t="s">
        <v>471</v>
      </c>
      <c r="G15" s="11" t="s">
        <v>186</v>
      </c>
      <c r="H15" s="10" t="s">
        <v>355</v>
      </c>
      <c r="I15" s="10" t="s">
        <v>793</v>
      </c>
      <c r="J15" s="11" t="s">
        <v>796</v>
      </c>
      <c r="K15" s="11"/>
      <c r="L15" s="11"/>
    </row>
    <row r="16" spans="2:14" ht="24" x14ac:dyDescent="0.3">
      <c r="B16" s="10">
        <v>14</v>
      </c>
      <c r="C16" s="26"/>
      <c r="D16" s="26"/>
      <c r="E16" s="11" t="s">
        <v>479</v>
      </c>
      <c r="F16" s="11" t="s">
        <v>296</v>
      </c>
      <c r="G16" s="11" t="s">
        <v>155</v>
      </c>
      <c r="H16" s="10" t="s">
        <v>355</v>
      </c>
      <c r="I16" s="10" t="s">
        <v>793</v>
      </c>
      <c r="J16" s="11" t="s">
        <v>796</v>
      </c>
      <c r="K16" s="11"/>
      <c r="L16" s="11"/>
    </row>
    <row r="17" spans="2:12" ht="48" x14ac:dyDescent="0.3">
      <c r="B17" s="10">
        <v>15</v>
      </c>
      <c r="C17" s="26"/>
      <c r="D17" s="26"/>
      <c r="E17" s="11" t="s">
        <v>432</v>
      </c>
      <c r="F17" s="11" t="s">
        <v>547</v>
      </c>
      <c r="G17" s="11" t="s">
        <v>28</v>
      </c>
      <c r="H17" s="10" t="s">
        <v>355</v>
      </c>
      <c r="I17" s="10" t="s">
        <v>793</v>
      </c>
      <c r="J17" s="11" t="s">
        <v>796</v>
      </c>
      <c r="K17" s="11"/>
      <c r="L17" s="11"/>
    </row>
    <row r="18" spans="2:12" ht="48" x14ac:dyDescent="0.3">
      <c r="B18" s="10">
        <v>16</v>
      </c>
      <c r="C18" s="26"/>
      <c r="D18" s="26"/>
      <c r="E18" s="11" t="s">
        <v>426</v>
      </c>
      <c r="F18" s="11" t="s">
        <v>786</v>
      </c>
      <c r="G18" s="11" t="s">
        <v>55</v>
      </c>
      <c r="H18" s="10" t="s">
        <v>355</v>
      </c>
      <c r="I18" s="10" t="s">
        <v>793</v>
      </c>
      <c r="J18" s="11" t="s">
        <v>796</v>
      </c>
      <c r="K18" s="11"/>
      <c r="L18" s="11"/>
    </row>
    <row r="19" spans="2:12" ht="36" x14ac:dyDescent="0.3">
      <c r="B19" s="10">
        <v>17</v>
      </c>
      <c r="C19" s="26"/>
      <c r="D19" s="26"/>
      <c r="E19" s="11" t="s">
        <v>411</v>
      </c>
      <c r="F19" s="11" t="s">
        <v>61</v>
      </c>
      <c r="G19" s="11" t="s">
        <v>49</v>
      </c>
      <c r="H19" s="10" t="s">
        <v>355</v>
      </c>
      <c r="I19" s="10" t="s">
        <v>793</v>
      </c>
      <c r="J19" s="11" t="s">
        <v>796</v>
      </c>
      <c r="K19" s="11"/>
      <c r="L19" s="11"/>
    </row>
    <row r="20" spans="2:12" ht="24" x14ac:dyDescent="0.3">
      <c r="B20" s="10">
        <v>18</v>
      </c>
      <c r="C20" s="26"/>
      <c r="D20" s="26"/>
      <c r="E20" s="11" t="s">
        <v>305</v>
      </c>
      <c r="F20" s="11" t="s">
        <v>581</v>
      </c>
      <c r="G20" s="11" t="s">
        <v>581</v>
      </c>
      <c r="H20" s="10" t="s">
        <v>355</v>
      </c>
      <c r="I20" s="10" t="s">
        <v>793</v>
      </c>
      <c r="J20" s="11" t="s">
        <v>796</v>
      </c>
      <c r="K20" s="11"/>
      <c r="L20" s="11"/>
    </row>
    <row r="21" spans="2:12" ht="24" x14ac:dyDescent="0.3">
      <c r="B21" s="10">
        <v>19</v>
      </c>
      <c r="C21" s="26"/>
      <c r="D21" s="26"/>
      <c r="E21" s="11" t="s">
        <v>389</v>
      </c>
      <c r="F21" s="11" t="s">
        <v>598</v>
      </c>
      <c r="G21" s="11" t="s">
        <v>581</v>
      </c>
      <c r="H21" s="10" t="s">
        <v>355</v>
      </c>
      <c r="I21" s="10" t="s">
        <v>793</v>
      </c>
      <c r="J21" s="11" t="s">
        <v>796</v>
      </c>
      <c r="K21" s="11"/>
      <c r="L21" s="11"/>
    </row>
    <row r="22" spans="2:12" x14ac:dyDescent="0.3">
      <c r="B22" s="10">
        <v>20</v>
      </c>
      <c r="C22" s="26"/>
      <c r="D22" s="26"/>
      <c r="E22" s="11"/>
      <c r="F22" s="11" t="s">
        <v>725</v>
      </c>
      <c r="G22" s="11" t="s">
        <v>573</v>
      </c>
      <c r="H22" s="10" t="s">
        <v>355</v>
      </c>
      <c r="I22" s="10" t="s">
        <v>793</v>
      </c>
      <c r="J22" s="11" t="s">
        <v>796</v>
      </c>
      <c r="K22" s="11"/>
      <c r="L22" s="11"/>
    </row>
    <row r="23" spans="2:12" ht="24" x14ac:dyDescent="0.3">
      <c r="B23" s="10">
        <v>21</v>
      </c>
      <c r="C23" s="26"/>
      <c r="D23" s="26"/>
      <c r="E23" s="11" t="s">
        <v>153</v>
      </c>
      <c r="F23" s="11" t="s">
        <v>45</v>
      </c>
      <c r="G23" s="11" t="s">
        <v>45</v>
      </c>
      <c r="H23" s="10" t="s">
        <v>355</v>
      </c>
      <c r="I23" s="10" t="s">
        <v>793</v>
      </c>
      <c r="J23" s="11" t="s">
        <v>796</v>
      </c>
      <c r="K23" s="11"/>
      <c r="L23" s="11"/>
    </row>
    <row r="24" spans="2:12" x14ac:dyDescent="0.3">
      <c r="B24" s="10">
        <v>22</v>
      </c>
      <c r="C24" s="26"/>
      <c r="D24" s="25" t="s">
        <v>362</v>
      </c>
      <c r="E24" s="11" t="s">
        <v>177</v>
      </c>
      <c r="F24" s="11" t="s">
        <v>518</v>
      </c>
      <c r="G24" s="11" t="s">
        <v>710</v>
      </c>
      <c r="H24" s="10" t="s">
        <v>355</v>
      </c>
      <c r="I24" s="10" t="s">
        <v>793</v>
      </c>
      <c r="J24" s="11" t="s">
        <v>796</v>
      </c>
      <c r="K24" s="11"/>
      <c r="L24" s="11"/>
    </row>
    <row r="25" spans="2:12" x14ac:dyDescent="0.3">
      <c r="B25" s="10">
        <v>23</v>
      </c>
      <c r="C25" s="26"/>
      <c r="D25" s="25"/>
      <c r="E25" s="11" t="s">
        <v>571</v>
      </c>
      <c r="F25" s="11" t="s">
        <v>406</v>
      </c>
      <c r="G25" s="11" t="s">
        <v>406</v>
      </c>
      <c r="H25" s="10" t="s">
        <v>355</v>
      </c>
      <c r="I25" s="10" t="s">
        <v>793</v>
      </c>
      <c r="J25" s="11" t="s">
        <v>796</v>
      </c>
      <c r="K25" s="11"/>
      <c r="L25" s="11"/>
    </row>
    <row r="26" spans="2:12" x14ac:dyDescent="0.3">
      <c r="B26" s="10">
        <v>24</v>
      </c>
      <c r="C26" s="26"/>
      <c r="D26" s="25"/>
      <c r="E26" s="11" t="s">
        <v>588</v>
      </c>
      <c r="F26" s="11" t="s">
        <v>408</v>
      </c>
      <c r="G26" s="11" t="s">
        <v>408</v>
      </c>
      <c r="H26" s="10" t="s">
        <v>355</v>
      </c>
      <c r="I26" s="10" t="s">
        <v>793</v>
      </c>
      <c r="J26" s="11" t="s">
        <v>796</v>
      </c>
      <c r="K26" s="11"/>
      <c r="L26" s="11"/>
    </row>
    <row r="27" spans="2:12" x14ac:dyDescent="0.3">
      <c r="B27" s="10">
        <v>25</v>
      </c>
      <c r="C27" s="26"/>
      <c r="D27" s="25"/>
      <c r="E27" s="11" t="s">
        <v>574</v>
      </c>
      <c r="F27" s="11" t="s">
        <v>701</v>
      </c>
      <c r="G27" s="11" t="s">
        <v>416</v>
      </c>
      <c r="H27" s="10" t="s">
        <v>355</v>
      </c>
      <c r="I27" s="10" t="s">
        <v>793</v>
      </c>
      <c r="J27" s="11" t="s">
        <v>796</v>
      </c>
      <c r="K27" s="11"/>
      <c r="L27" s="11"/>
    </row>
    <row r="28" spans="2:12" ht="24" x14ac:dyDescent="0.3">
      <c r="B28" s="10">
        <v>26</v>
      </c>
      <c r="C28" s="26"/>
      <c r="D28" s="25"/>
      <c r="E28" s="11" t="s">
        <v>574</v>
      </c>
      <c r="F28" s="11" t="s">
        <v>36</v>
      </c>
      <c r="G28" s="11" t="s">
        <v>34</v>
      </c>
      <c r="H28" s="10" t="s">
        <v>355</v>
      </c>
      <c r="I28" s="10" t="s">
        <v>793</v>
      </c>
      <c r="J28" s="11" t="s">
        <v>796</v>
      </c>
      <c r="K28" s="11"/>
      <c r="L28" s="11"/>
    </row>
    <row r="29" spans="2:12" ht="24" x14ac:dyDescent="0.3">
      <c r="B29" s="10">
        <v>27</v>
      </c>
      <c r="C29" s="26"/>
      <c r="D29" s="25"/>
      <c r="E29" s="11" t="s">
        <v>574</v>
      </c>
      <c r="F29" s="11" t="s">
        <v>32</v>
      </c>
      <c r="G29" s="11" t="s">
        <v>298</v>
      </c>
      <c r="H29" s="10" t="s">
        <v>355</v>
      </c>
      <c r="I29" s="10" t="s">
        <v>793</v>
      </c>
      <c r="J29" s="11" t="s">
        <v>796</v>
      </c>
      <c r="K29" s="11"/>
      <c r="L29" s="11"/>
    </row>
    <row r="30" spans="2:12" ht="24" x14ac:dyDescent="0.3">
      <c r="B30" s="10">
        <v>28</v>
      </c>
      <c r="C30" s="26"/>
      <c r="D30" s="25"/>
      <c r="E30" s="11"/>
      <c r="F30" s="11" t="s">
        <v>47</v>
      </c>
      <c r="G30" s="11" t="s">
        <v>46</v>
      </c>
      <c r="H30" s="10" t="s">
        <v>355</v>
      </c>
      <c r="I30" s="10" t="s">
        <v>793</v>
      </c>
      <c r="J30" s="11" t="s">
        <v>796</v>
      </c>
      <c r="K30" s="11"/>
      <c r="L30" s="11"/>
    </row>
    <row r="31" spans="2:12" x14ac:dyDescent="0.3">
      <c r="B31" s="10">
        <v>29</v>
      </c>
      <c r="C31" s="26"/>
      <c r="D31" s="25"/>
      <c r="E31" s="11" t="s">
        <v>405</v>
      </c>
      <c r="F31" s="11" t="s">
        <v>490</v>
      </c>
      <c r="G31" s="11" t="s">
        <v>490</v>
      </c>
      <c r="H31" s="10" t="s">
        <v>355</v>
      </c>
      <c r="I31" s="10" t="s">
        <v>793</v>
      </c>
      <c r="J31" s="11" t="s">
        <v>796</v>
      </c>
      <c r="K31" s="11"/>
      <c r="L31" s="11"/>
    </row>
    <row r="32" spans="2:12" x14ac:dyDescent="0.3">
      <c r="B32" s="10">
        <v>30</v>
      </c>
      <c r="C32" s="26"/>
      <c r="D32" s="25"/>
      <c r="E32" s="11" t="s">
        <v>215</v>
      </c>
      <c r="F32" s="11" t="s">
        <v>395</v>
      </c>
      <c r="G32" s="11" t="s">
        <v>535</v>
      </c>
      <c r="H32" s="10" t="s">
        <v>355</v>
      </c>
      <c r="I32" s="10" t="s">
        <v>793</v>
      </c>
      <c r="J32" s="11" t="s">
        <v>796</v>
      </c>
      <c r="K32" s="11"/>
      <c r="L32" s="11"/>
    </row>
    <row r="33" spans="2:12" x14ac:dyDescent="0.3">
      <c r="B33" s="10">
        <v>31</v>
      </c>
      <c r="C33" s="26"/>
      <c r="D33" s="25"/>
      <c r="E33" s="11" t="s">
        <v>443</v>
      </c>
      <c r="F33" s="11" t="s">
        <v>706</v>
      </c>
      <c r="G33" s="11" t="s">
        <v>585</v>
      </c>
      <c r="H33" s="10" t="s">
        <v>355</v>
      </c>
      <c r="I33" s="10" t="s">
        <v>793</v>
      </c>
      <c r="J33" s="11" t="s">
        <v>796</v>
      </c>
      <c r="K33" s="11"/>
      <c r="L33" s="11"/>
    </row>
    <row r="34" spans="2:12" x14ac:dyDescent="0.3">
      <c r="B34" s="10">
        <v>32</v>
      </c>
      <c r="C34" s="26"/>
      <c r="D34" s="25"/>
      <c r="E34" s="11" t="s">
        <v>194</v>
      </c>
      <c r="F34" s="11" t="s">
        <v>526</v>
      </c>
      <c r="G34" s="11" t="s">
        <v>583</v>
      </c>
      <c r="H34" s="10" t="s">
        <v>355</v>
      </c>
      <c r="I34" s="10" t="s">
        <v>793</v>
      </c>
      <c r="J34" s="11" t="s">
        <v>796</v>
      </c>
      <c r="K34" s="11"/>
      <c r="L34" s="11"/>
    </row>
    <row r="35" spans="2:12" ht="24" x14ac:dyDescent="0.3">
      <c r="B35" s="10">
        <v>33</v>
      </c>
      <c r="C35" s="26"/>
      <c r="D35" s="25"/>
      <c r="E35" s="11" t="s">
        <v>222</v>
      </c>
      <c r="F35" s="11" t="s">
        <v>65</v>
      </c>
      <c r="G35" s="11" t="s">
        <v>541</v>
      </c>
      <c r="H35" s="10" t="s">
        <v>355</v>
      </c>
      <c r="I35" s="10" t="s">
        <v>793</v>
      </c>
      <c r="J35" s="11" t="s">
        <v>796</v>
      </c>
      <c r="K35" s="11"/>
      <c r="L35" s="11"/>
    </row>
    <row r="36" spans="2:12" x14ac:dyDescent="0.3">
      <c r="B36" s="10">
        <v>34</v>
      </c>
      <c r="C36" s="26"/>
      <c r="D36" s="25"/>
      <c r="E36" s="11" t="s">
        <v>452</v>
      </c>
      <c r="F36" s="11" t="s">
        <v>516</v>
      </c>
      <c r="G36" s="11" t="s">
        <v>578</v>
      </c>
      <c r="H36" s="10" t="s">
        <v>355</v>
      </c>
      <c r="I36" s="10" t="s">
        <v>793</v>
      </c>
      <c r="J36" s="11" t="s">
        <v>796</v>
      </c>
      <c r="K36" s="11"/>
      <c r="L36" s="11"/>
    </row>
    <row r="37" spans="2:12" ht="24" x14ac:dyDescent="0.3">
      <c r="B37" s="10">
        <v>35</v>
      </c>
      <c r="C37" s="26"/>
      <c r="D37" s="25"/>
      <c r="E37" s="11" t="s">
        <v>26</v>
      </c>
      <c r="F37" s="11" t="s">
        <v>8</v>
      </c>
      <c r="G37" s="11" t="s">
        <v>380</v>
      </c>
      <c r="H37" s="10" t="s">
        <v>355</v>
      </c>
      <c r="I37" s="10" t="s">
        <v>793</v>
      </c>
      <c r="J37" s="11" t="s">
        <v>796</v>
      </c>
      <c r="K37" s="11"/>
      <c r="L37" s="11"/>
    </row>
    <row r="38" spans="2:12" x14ac:dyDescent="0.3">
      <c r="B38" s="10">
        <v>36</v>
      </c>
      <c r="C38" s="26"/>
      <c r="D38" s="26" t="s">
        <v>323</v>
      </c>
      <c r="E38" s="11" t="s">
        <v>156</v>
      </c>
      <c r="F38" s="11" t="s">
        <v>483</v>
      </c>
      <c r="G38" s="11" t="s">
        <v>488</v>
      </c>
      <c r="H38" s="10" t="s">
        <v>355</v>
      </c>
      <c r="I38" s="10" t="s">
        <v>793</v>
      </c>
      <c r="J38" s="11" t="s">
        <v>796</v>
      </c>
      <c r="K38" s="11"/>
      <c r="L38" s="11"/>
    </row>
    <row r="39" spans="2:12" x14ac:dyDescent="0.3">
      <c r="B39" s="10">
        <v>37</v>
      </c>
      <c r="C39" s="26"/>
      <c r="D39" s="26"/>
      <c r="E39" s="11" t="s">
        <v>115</v>
      </c>
      <c r="F39" s="11" t="s">
        <v>543</v>
      </c>
      <c r="G39" s="11" t="s">
        <v>482</v>
      </c>
      <c r="H39" s="10" t="s">
        <v>355</v>
      </c>
      <c r="I39" s="10" t="s">
        <v>793</v>
      </c>
      <c r="J39" s="11" t="s">
        <v>796</v>
      </c>
      <c r="K39" s="11"/>
      <c r="L39" s="11"/>
    </row>
    <row r="40" spans="2:12" x14ac:dyDescent="0.3">
      <c r="B40" s="10">
        <v>38</v>
      </c>
      <c r="C40" s="26"/>
      <c r="D40" s="26"/>
      <c r="E40" s="11" t="s">
        <v>244</v>
      </c>
      <c r="F40" s="11" t="s">
        <v>262</v>
      </c>
      <c r="G40" s="11" t="s">
        <v>262</v>
      </c>
      <c r="H40" s="10" t="s">
        <v>355</v>
      </c>
      <c r="I40" s="10" t="s">
        <v>793</v>
      </c>
      <c r="J40" s="11" t="s">
        <v>796</v>
      </c>
      <c r="K40" s="11"/>
      <c r="L40" s="11"/>
    </row>
    <row r="41" spans="2:12" x14ac:dyDescent="0.3">
      <c r="B41" s="10">
        <v>39</v>
      </c>
      <c r="C41" s="26"/>
      <c r="D41" s="26"/>
      <c r="E41" s="11" t="s">
        <v>262</v>
      </c>
      <c r="F41" s="11" t="s">
        <v>441</v>
      </c>
      <c r="G41" s="11" t="s">
        <v>562</v>
      </c>
      <c r="H41" s="10" t="s">
        <v>355</v>
      </c>
      <c r="I41" s="10" t="s">
        <v>793</v>
      </c>
      <c r="J41" s="11" t="s">
        <v>796</v>
      </c>
      <c r="K41" s="11"/>
      <c r="L41" s="11"/>
    </row>
    <row r="42" spans="2:12" x14ac:dyDescent="0.3">
      <c r="B42" s="10">
        <v>40</v>
      </c>
      <c r="C42" s="26"/>
      <c r="D42" s="26"/>
      <c r="E42" s="11"/>
      <c r="F42" s="11" t="s">
        <v>647</v>
      </c>
      <c r="G42" s="11" t="s">
        <v>707</v>
      </c>
      <c r="H42" s="10" t="s">
        <v>355</v>
      </c>
      <c r="I42" s="10" t="s">
        <v>793</v>
      </c>
      <c r="J42" s="11" t="s">
        <v>796</v>
      </c>
      <c r="K42" s="11"/>
      <c r="L42" s="11"/>
    </row>
    <row r="43" spans="2:12" x14ac:dyDescent="0.3">
      <c r="B43" s="10">
        <v>41</v>
      </c>
      <c r="C43" s="26" t="s">
        <v>356</v>
      </c>
      <c r="D43" s="12" t="s">
        <v>79</v>
      </c>
      <c r="E43" s="11"/>
      <c r="F43" s="11" t="s">
        <v>344</v>
      </c>
      <c r="G43" s="11" t="s">
        <v>770</v>
      </c>
      <c r="H43" s="10" t="s">
        <v>355</v>
      </c>
      <c r="I43" s="10" t="s">
        <v>793</v>
      </c>
      <c r="J43" s="11" t="s">
        <v>796</v>
      </c>
      <c r="K43" s="11"/>
      <c r="L43" s="11"/>
    </row>
    <row r="44" spans="2:12" ht="24" x14ac:dyDescent="0.3">
      <c r="B44" s="10">
        <v>42</v>
      </c>
      <c r="C44" s="26"/>
      <c r="D44" s="26" t="s">
        <v>73</v>
      </c>
      <c r="E44" s="11"/>
      <c r="F44" s="11" t="s">
        <v>122</v>
      </c>
      <c r="G44" s="11" t="s">
        <v>397</v>
      </c>
      <c r="H44" s="10" t="s">
        <v>355</v>
      </c>
      <c r="I44" s="10" t="s">
        <v>793</v>
      </c>
      <c r="J44" s="11" t="s">
        <v>796</v>
      </c>
      <c r="K44" s="11"/>
      <c r="L44" s="11"/>
    </row>
    <row r="45" spans="2:12" ht="24" x14ac:dyDescent="0.3">
      <c r="B45" s="10">
        <v>43</v>
      </c>
      <c r="C45" s="26"/>
      <c r="D45" s="26"/>
      <c r="E45" s="11"/>
      <c r="F45" s="11" t="s">
        <v>135</v>
      </c>
      <c r="G45" s="11" t="s">
        <v>376</v>
      </c>
      <c r="H45" s="10" t="s">
        <v>355</v>
      </c>
      <c r="I45" s="10" t="s">
        <v>793</v>
      </c>
      <c r="J45" s="11" t="s">
        <v>796</v>
      </c>
      <c r="K45" s="11"/>
      <c r="L45" s="11"/>
    </row>
    <row r="46" spans="2:12" x14ac:dyDescent="0.3">
      <c r="B46" s="10">
        <v>44</v>
      </c>
      <c r="C46" s="26"/>
      <c r="D46" s="26"/>
      <c r="E46" s="11"/>
      <c r="F46" s="11" t="s">
        <v>600</v>
      </c>
      <c r="G46" s="11" t="s">
        <v>641</v>
      </c>
      <c r="H46" s="10" t="s">
        <v>355</v>
      </c>
      <c r="I46" s="10" t="s">
        <v>793</v>
      </c>
      <c r="J46" s="11" t="s">
        <v>796</v>
      </c>
      <c r="K46" s="11"/>
      <c r="L46" s="11"/>
    </row>
    <row r="47" spans="2:12" x14ac:dyDescent="0.3">
      <c r="B47" s="10">
        <v>45</v>
      </c>
      <c r="C47" s="26"/>
      <c r="D47" s="26"/>
      <c r="E47" s="11"/>
      <c r="F47" s="11" t="s">
        <v>289</v>
      </c>
      <c r="G47" s="11" t="s">
        <v>722</v>
      </c>
      <c r="H47" s="10" t="s">
        <v>355</v>
      </c>
      <c r="I47" s="10" t="s">
        <v>793</v>
      </c>
      <c r="J47" s="11" t="s">
        <v>796</v>
      </c>
      <c r="K47" s="11"/>
      <c r="L47" s="11"/>
    </row>
    <row r="48" spans="2:12" x14ac:dyDescent="0.3">
      <c r="B48" s="10">
        <v>46</v>
      </c>
      <c r="C48" s="26"/>
      <c r="D48" s="26"/>
      <c r="E48" s="24" t="s">
        <v>670</v>
      </c>
      <c r="F48" s="24" t="s">
        <v>429</v>
      </c>
      <c r="G48" s="24" t="s">
        <v>15</v>
      </c>
      <c r="H48" s="10" t="s">
        <v>355</v>
      </c>
      <c r="I48" s="10" t="s">
        <v>793</v>
      </c>
      <c r="J48" s="11" t="s">
        <v>796</v>
      </c>
      <c r="K48" s="11"/>
      <c r="L48" s="11"/>
    </row>
    <row r="49" spans="2:12" x14ac:dyDescent="0.3">
      <c r="B49" s="10">
        <v>47</v>
      </c>
      <c r="C49" s="26"/>
      <c r="D49" s="26"/>
      <c r="E49" s="24"/>
      <c r="F49" s="24"/>
      <c r="G49" s="24"/>
      <c r="H49" s="10" t="s">
        <v>355</v>
      </c>
      <c r="I49" s="10" t="s">
        <v>793</v>
      </c>
      <c r="J49" s="11" t="s">
        <v>796</v>
      </c>
      <c r="K49" s="11"/>
      <c r="L49" s="11"/>
    </row>
    <row r="50" spans="2:12" ht="36" x14ac:dyDescent="0.3">
      <c r="B50" s="10">
        <v>48</v>
      </c>
      <c r="C50" s="26"/>
      <c r="D50" s="26"/>
      <c r="E50" s="11" t="s">
        <v>630</v>
      </c>
      <c r="F50" s="11" t="s">
        <v>111</v>
      </c>
      <c r="G50" s="11" t="s">
        <v>302</v>
      </c>
      <c r="H50" s="10" t="s">
        <v>355</v>
      </c>
      <c r="I50" s="10" t="s">
        <v>793</v>
      </c>
      <c r="J50" s="11" t="s">
        <v>796</v>
      </c>
      <c r="K50" s="11"/>
      <c r="L50" s="11"/>
    </row>
    <row r="51" spans="2:12" x14ac:dyDescent="0.3">
      <c r="B51" s="10">
        <v>49</v>
      </c>
      <c r="C51" s="26"/>
      <c r="D51" s="26"/>
      <c r="E51" s="11"/>
      <c r="F51" s="11" t="s">
        <v>137</v>
      </c>
      <c r="G51" s="11" t="s">
        <v>494</v>
      </c>
      <c r="H51" s="10" t="s">
        <v>355</v>
      </c>
      <c r="I51" s="10" t="s">
        <v>793</v>
      </c>
      <c r="J51" s="11" t="s">
        <v>796</v>
      </c>
      <c r="K51" s="11"/>
      <c r="L51" s="11"/>
    </row>
    <row r="52" spans="2:12" x14ac:dyDescent="0.3">
      <c r="B52" s="10">
        <v>50</v>
      </c>
      <c r="C52" s="26"/>
      <c r="D52" s="26"/>
      <c r="E52" s="11"/>
      <c r="F52" s="11" t="s">
        <v>98</v>
      </c>
      <c r="G52" s="11" t="s">
        <v>524</v>
      </c>
      <c r="H52" s="10" t="s">
        <v>355</v>
      </c>
      <c r="I52" s="10" t="s">
        <v>793</v>
      </c>
      <c r="J52" s="11" t="s">
        <v>796</v>
      </c>
      <c r="K52" s="11"/>
      <c r="L52" s="11"/>
    </row>
    <row r="53" spans="2:12" x14ac:dyDescent="0.3">
      <c r="B53" s="10">
        <v>51</v>
      </c>
      <c r="C53" s="26"/>
      <c r="D53" s="26"/>
      <c r="E53" s="11"/>
      <c r="F53" s="11" t="s">
        <v>644</v>
      </c>
      <c r="G53" s="11" t="s">
        <v>88</v>
      </c>
      <c r="H53" s="10" t="s">
        <v>355</v>
      </c>
      <c r="I53" s="10" t="s">
        <v>793</v>
      </c>
      <c r="J53" s="11" t="s">
        <v>796</v>
      </c>
      <c r="K53" s="11"/>
      <c r="L53" s="11"/>
    </row>
    <row r="54" spans="2:12" x14ac:dyDescent="0.3">
      <c r="B54" s="10">
        <v>52</v>
      </c>
      <c r="C54" s="26"/>
      <c r="D54" s="26"/>
      <c r="E54" s="11"/>
      <c r="F54" s="11" t="s">
        <v>226</v>
      </c>
      <c r="G54" s="11" t="s">
        <v>85</v>
      </c>
      <c r="H54" s="10" t="s">
        <v>355</v>
      </c>
      <c r="I54" s="10" t="s">
        <v>793</v>
      </c>
      <c r="J54" s="11" t="s">
        <v>796</v>
      </c>
      <c r="K54" s="11"/>
      <c r="L54" s="11"/>
    </row>
    <row r="55" spans="2:12" x14ac:dyDescent="0.3">
      <c r="B55" s="10">
        <v>53</v>
      </c>
      <c r="C55" s="26"/>
      <c r="D55" s="26"/>
      <c r="E55" s="24" t="s">
        <v>675</v>
      </c>
      <c r="F55" s="24" t="s">
        <v>433</v>
      </c>
      <c r="G55" s="24" t="s">
        <v>423</v>
      </c>
      <c r="H55" s="10" t="s">
        <v>355</v>
      </c>
      <c r="I55" s="10" t="s">
        <v>793</v>
      </c>
      <c r="J55" s="11" t="s">
        <v>796</v>
      </c>
      <c r="K55" s="11"/>
      <c r="L55" s="11"/>
    </row>
    <row r="56" spans="2:12" x14ac:dyDescent="0.3">
      <c r="B56" s="10">
        <v>54</v>
      </c>
      <c r="C56" s="26"/>
      <c r="D56" s="26"/>
      <c r="E56" s="24"/>
      <c r="F56" s="24"/>
      <c r="G56" s="24"/>
      <c r="H56" s="10" t="s">
        <v>355</v>
      </c>
      <c r="I56" s="10" t="s">
        <v>793</v>
      </c>
      <c r="J56" s="11" t="s">
        <v>796</v>
      </c>
      <c r="K56" s="11"/>
      <c r="L56" s="11"/>
    </row>
    <row r="57" spans="2:12" ht="24" x14ac:dyDescent="0.3">
      <c r="B57" s="10">
        <v>55</v>
      </c>
      <c r="C57" s="26"/>
      <c r="D57" s="26"/>
      <c r="E57" s="11" t="s">
        <v>592</v>
      </c>
      <c r="F57" s="11" t="s">
        <v>113</v>
      </c>
      <c r="G57" s="11" t="s">
        <v>294</v>
      </c>
      <c r="H57" s="10" t="s">
        <v>355</v>
      </c>
      <c r="I57" s="10" t="s">
        <v>793</v>
      </c>
      <c r="J57" s="11" t="s">
        <v>796</v>
      </c>
      <c r="K57" s="11"/>
      <c r="L57" s="11"/>
    </row>
    <row r="58" spans="2:12" x14ac:dyDescent="0.3">
      <c r="B58" s="10">
        <v>56</v>
      </c>
      <c r="C58" s="26"/>
      <c r="D58" s="26" t="s">
        <v>791</v>
      </c>
      <c r="E58" s="11" t="s">
        <v>110</v>
      </c>
      <c r="F58" s="11" t="s">
        <v>746</v>
      </c>
      <c r="G58" s="11" t="s">
        <v>611</v>
      </c>
      <c r="H58" s="10" t="s">
        <v>355</v>
      </c>
      <c r="I58" s="10" t="s">
        <v>793</v>
      </c>
      <c r="J58" s="11" t="s">
        <v>796</v>
      </c>
      <c r="K58" s="11"/>
      <c r="L58" s="11"/>
    </row>
    <row r="59" spans="2:12" x14ac:dyDescent="0.3">
      <c r="B59" s="10">
        <v>57</v>
      </c>
      <c r="C59" s="26"/>
      <c r="D59" s="26"/>
      <c r="E59" s="11" t="s">
        <v>607</v>
      </c>
      <c r="F59" s="11" t="s">
        <v>746</v>
      </c>
      <c r="G59" s="11" t="s">
        <v>645</v>
      </c>
      <c r="H59" s="10" t="s">
        <v>355</v>
      </c>
      <c r="I59" s="10" t="s">
        <v>793</v>
      </c>
      <c r="J59" s="11" t="s">
        <v>796</v>
      </c>
      <c r="K59" s="11"/>
      <c r="L59" s="11"/>
    </row>
    <row r="60" spans="2:12" x14ac:dyDescent="0.3">
      <c r="B60" s="10">
        <v>58</v>
      </c>
      <c r="C60" s="26"/>
      <c r="D60" s="26"/>
      <c r="E60" s="11" t="s">
        <v>596</v>
      </c>
      <c r="F60" s="11" t="s">
        <v>746</v>
      </c>
      <c r="G60" s="11" t="s">
        <v>168</v>
      </c>
      <c r="H60" s="10" t="s">
        <v>355</v>
      </c>
      <c r="I60" s="10" t="s">
        <v>793</v>
      </c>
      <c r="J60" s="11" t="s">
        <v>796</v>
      </c>
      <c r="K60" s="11"/>
      <c r="L60" s="11"/>
    </row>
    <row r="61" spans="2:12" x14ac:dyDescent="0.3">
      <c r="B61" s="10">
        <v>59</v>
      </c>
      <c r="C61" s="26"/>
      <c r="D61" s="26"/>
      <c r="E61" s="11" t="s">
        <v>698</v>
      </c>
      <c r="F61" s="11" t="s">
        <v>267</v>
      </c>
      <c r="G61" s="11" t="s">
        <v>95</v>
      </c>
      <c r="H61" s="10" t="s">
        <v>355</v>
      </c>
      <c r="I61" s="10" t="s">
        <v>793</v>
      </c>
      <c r="J61" s="11" t="s">
        <v>796</v>
      </c>
      <c r="K61" s="11"/>
      <c r="L61" s="11"/>
    </row>
    <row r="62" spans="2:12" x14ac:dyDescent="0.3">
      <c r="B62" s="10">
        <v>60</v>
      </c>
      <c r="C62" s="26"/>
      <c r="D62" s="26"/>
      <c r="E62" s="11"/>
      <c r="F62" s="11" t="s">
        <v>758</v>
      </c>
      <c r="G62" s="11" t="s">
        <v>455</v>
      </c>
      <c r="H62" s="10" t="s">
        <v>355</v>
      </c>
      <c r="I62" s="10" t="s">
        <v>793</v>
      </c>
      <c r="J62" s="11" t="s">
        <v>796</v>
      </c>
      <c r="K62" s="11"/>
      <c r="L62" s="11"/>
    </row>
    <row r="63" spans="2:12" x14ac:dyDescent="0.3">
      <c r="B63" s="10">
        <v>61</v>
      </c>
      <c r="C63" s="26"/>
      <c r="D63" s="26"/>
      <c r="E63" s="11" t="s">
        <v>613</v>
      </c>
      <c r="F63" s="11" t="s">
        <v>758</v>
      </c>
      <c r="G63" s="11" t="s">
        <v>242</v>
      </c>
      <c r="H63" s="10" t="s">
        <v>355</v>
      </c>
      <c r="I63" s="10" t="s">
        <v>793</v>
      </c>
      <c r="J63" s="11" t="s">
        <v>796</v>
      </c>
      <c r="K63" s="11"/>
      <c r="L63" s="11"/>
    </row>
    <row r="64" spans="2:12" x14ac:dyDescent="0.3">
      <c r="B64" s="10">
        <v>62</v>
      </c>
      <c r="C64" s="26"/>
      <c r="D64" s="26"/>
      <c r="E64" s="11" t="s">
        <v>613</v>
      </c>
      <c r="F64" s="11" t="s">
        <v>734</v>
      </c>
      <c r="G64" s="11" t="s">
        <v>517</v>
      </c>
      <c r="H64" s="10" t="s">
        <v>355</v>
      </c>
      <c r="I64" s="10" t="s">
        <v>793</v>
      </c>
      <c r="J64" s="11" t="s">
        <v>796</v>
      </c>
      <c r="K64" s="11"/>
      <c r="L64" s="11"/>
    </row>
    <row r="65" spans="2:12" x14ac:dyDescent="0.3">
      <c r="B65" s="10">
        <v>63</v>
      </c>
      <c r="C65" s="26"/>
      <c r="D65" s="26"/>
      <c r="E65" s="11" t="s">
        <v>593</v>
      </c>
      <c r="F65" s="11" t="s">
        <v>708</v>
      </c>
      <c r="G65" s="11" t="s">
        <v>694</v>
      </c>
      <c r="H65" s="10" t="s">
        <v>355</v>
      </c>
      <c r="I65" s="10" t="s">
        <v>793</v>
      </c>
      <c r="J65" s="11" t="s">
        <v>796</v>
      </c>
      <c r="K65" s="11"/>
      <c r="L65" s="11"/>
    </row>
    <row r="66" spans="2:12" ht="24" x14ac:dyDescent="0.3">
      <c r="B66" s="10">
        <v>64</v>
      </c>
      <c r="C66" s="26"/>
      <c r="D66" s="26"/>
      <c r="E66" s="11" t="s">
        <v>20</v>
      </c>
      <c r="F66" s="11" t="s">
        <v>1</v>
      </c>
      <c r="G66" s="11" t="s">
        <v>17</v>
      </c>
      <c r="H66" s="10" t="s">
        <v>355</v>
      </c>
      <c r="I66" s="10" t="s">
        <v>793</v>
      </c>
      <c r="J66" s="11" t="s">
        <v>796</v>
      </c>
      <c r="K66" s="11"/>
      <c r="L66" s="11"/>
    </row>
    <row r="67" spans="2:12" ht="24" x14ac:dyDescent="0.3">
      <c r="B67" s="10">
        <v>65</v>
      </c>
      <c r="C67" s="26"/>
      <c r="D67" s="26"/>
      <c r="E67" s="11"/>
      <c r="F67" s="11" t="s">
        <v>768</v>
      </c>
      <c r="G67" s="11" t="s">
        <v>300</v>
      </c>
      <c r="H67" s="10" t="s">
        <v>355</v>
      </c>
      <c r="I67" s="10" t="s">
        <v>793</v>
      </c>
      <c r="J67" s="11" t="s">
        <v>796</v>
      </c>
      <c r="K67" s="11"/>
      <c r="L67" s="11"/>
    </row>
    <row r="68" spans="2:12" ht="24" x14ac:dyDescent="0.3">
      <c r="B68" s="10">
        <v>66</v>
      </c>
      <c r="C68" s="26"/>
      <c r="D68" s="26"/>
      <c r="E68" s="11" t="s">
        <v>60</v>
      </c>
      <c r="F68" s="11" t="s">
        <v>277</v>
      </c>
      <c r="G68" s="11" t="s">
        <v>481</v>
      </c>
      <c r="H68" s="10" t="s">
        <v>355</v>
      </c>
      <c r="I68" s="10" t="s">
        <v>793</v>
      </c>
      <c r="J68" s="11" t="s">
        <v>796</v>
      </c>
      <c r="K68" s="11"/>
      <c r="L68" s="11"/>
    </row>
    <row r="69" spans="2:12" x14ac:dyDescent="0.3">
      <c r="B69" s="10">
        <v>67</v>
      </c>
      <c r="C69" s="26"/>
      <c r="D69" s="26" t="s">
        <v>338</v>
      </c>
      <c r="E69" s="11"/>
      <c r="F69" s="11" t="s">
        <v>227</v>
      </c>
      <c r="G69" s="11" t="s">
        <v>696</v>
      </c>
      <c r="H69" s="10" t="s">
        <v>355</v>
      </c>
      <c r="I69" s="10" t="s">
        <v>793</v>
      </c>
      <c r="J69" s="11" t="s">
        <v>796</v>
      </c>
      <c r="K69" s="11"/>
      <c r="L69" s="11"/>
    </row>
    <row r="70" spans="2:12" ht="24" x14ac:dyDescent="0.3">
      <c r="B70" s="10">
        <v>68</v>
      </c>
      <c r="C70" s="26"/>
      <c r="D70" s="26"/>
      <c r="E70" s="11" t="s">
        <v>622</v>
      </c>
      <c r="F70" s="11" t="s">
        <v>421</v>
      </c>
      <c r="G70" s="11" t="s">
        <v>24</v>
      </c>
      <c r="H70" s="10" t="s">
        <v>355</v>
      </c>
      <c r="I70" s="10" t="s">
        <v>793</v>
      </c>
      <c r="J70" s="11" t="s">
        <v>796</v>
      </c>
      <c r="K70" s="11"/>
      <c r="L70" s="11"/>
    </row>
    <row r="71" spans="2:12" x14ac:dyDescent="0.3">
      <c r="B71" s="10">
        <v>69</v>
      </c>
      <c r="C71" s="26"/>
      <c r="D71" s="26"/>
      <c r="E71" s="11"/>
      <c r="F71" s="11" t="s">
        <v>163</v>
      </c>
      <c r="G71" s="11" t="s">
        <v>529</v>
      </c>
      <c r="H71" s="10" t="s">
        <v>355</v>
      </c>
      <c r="I71" s="10" t="s">
        <v>793</v>
      </c>
      <c r="J71" s="11" t="s">
        <v>796</v>
      </c>
      <c r="K71" s="11"/>
      <c r="L71" s="11"/>
    </row>
    <row r="72" spans="2:12" x14ac:dyDescent="0.3">
      <c r="B72" s="10">
        <v>70</v>
      </c>
      <c r="C72" s="26"/>
      <c r="D72" s="26"/>
      <c r="E72" s="11" t="s">
        <v>144</v>
      </c>
      <c r="F72" s="11" t="s">
        <v>496</v>
      </c>
      <c r="G72" s="11" t="s">
        <v>422</v>
      </c>
      <c r="H72" s="10" t="s">
        <v>355</v>
      </c>
      <c r="I72" s="10" t="s">
        <v>793</v>
      </c>
      <c r="J72" s="11" t="s">
        <v>796</v>
      </c>
      <c r="K72" s="11"/>
      <c r="L72" s="11"/>
    </row>
    <row r="73" spans="2:12" x14ac:dyDescent="0.3">
      <c r="B73" s="10">
        <v>71</v>
      </c>
      <c r="C73" s="26"/>
      <c r="D73" s="26"/>
      <c r="E73" s="11"/>
      <c r="F73" s="11" t="s">
        <v>183</v>
      </c>
      <c r="G73" s="11" t="s">
        <v>569</v>
      </c>
      <c r="H73" s="10" t="s">
        <v>355</v>
      </c>
      <c r="I73" s="10" t="s">
        <v>793</v>
      </c>
      <c r="J73" s="11" t="s">
        <v>796</v>
      </c>
      <c r="K73" s="11"/>
      <c r="L73" s="11"/>
    </row>
    <row r="74" spans="2:12" x14ac:dyDescent="0.3">
      <c r="B74" s="10">
        <v>72</v>
      </c>
      <c r="C74" s="26"/>
      <c r="D74" s="26"/>
      <c r="E74" s="11" t="s">
        <v>625</v>
      </c>
      <c r="F74" s="11" t="s">
        <v>683</v>
      </c>
      <c r="G74" s="11" t="s">
        <v>545</v>
      </c>
      <c r="H74" s="10" t="s">
        <v>355</v>
      </c>
      <c r="I74" s="10" t="s">
        <v>793</v>
      </c>
      <c r="J74" s="11" t="s">
        <v>796</v>
      </c>
      <c r="K74" s="11"/>
      <c r="L74" s="11"/>
    </row>
    <row r="75" spans="2:12" x14ac:dyDescent="0.3">
      <c r="B75" s="10">
        <v>73</v>
      </c>
      <c r="C75" s="26"/>
      <c r="D75" s="26"/>
      <c r="E75" s="11"/>
      <c r="F75" s="11" t="s">
        <v>99</v>
      </c>
      <c r="G75" s="11" t="s">
        <v>720</v>
      </c>
      <c r="H75" s="10" t="s">
        <v>355</v>
      </c>
      <c r="I75" s="10" t="s">
        <v>793</v>
      </c>
      <c r="J75" s="11" t="s">
        <v>796</v>
      </c>
      <c r="K75" s="11"/>
      <c r="L75" s="11"/>
    </row>
    <row r="76" spans="2:12" x14ac:dyDescent="0.3">
      <c r="B76" s="10">
        <v>74</v>
      </c>
      <c r="C76" s="26"/>
      <c r="D76" s="26"/>
      <c r="E76" s="11" t="s">
        <v>164</v>
      </c>
      <c r="F76" s="11" t="s">
        <v>636</v>
      </c>
      <c r="G76" s="11" t="s">
        <v>669</v>
      </c>
      <c r="H76" s="10" t="s">
        <v>355</v>
      </c>
      <c r="I76" s="10" t="s">
        <v>793</v>
      </c>
      <c r="J76" s="11" t="s">
        <v>796</v>
      </c>
      <c r="K76" s="11"/>
      <c r="L76" s="11"/>
    </row>
    <row r="77" spans="2:12" x14ac:dyDescent="0.3">
      <c r="B77" s="10">
        <v>75</v>
      </c>
      <c r="C77" s="26"/>
      <c r="D77" s="26" t="s">
        <v>81</v>
      </c>
      <c r="E77" s="11"/>
      <c r="F77" s="11" t="s">
        <v>90</v>
      </c>
      <c r="G77" s="24" t="s">
        <v>402</v>
      </c>
      <c r="H77" s="10" t="s">
        <v>355</v>
      </c>
      <c r="I77" s="10" t="s">
        <v>793</v>
      </c>
      <c r="J77" s="11" t="s">
        <v>796</v>
      </c>
      <c r="K77" s="11"/>
      <c r="L77" s="11"/>
    </row>
    <row r="78" spans="2:12" x14ac:dyDescent="0.3">
      <c r="B78" s="10">
        <v>76</v>
      </c>
      <c r="C78" s="26"/>
      <c r="D78" s="26"/>
      <c r="E78" s="11"/>
      <c r="F78" s="11" t="s">
        <v>276</v>
      </c>
      <c r="G78" s="24"/>
      <c r="H78" s="10" t="s">
        <v>355</v>
      </c>
      <c r="I78" s="10" t="s">
        <v>793</v>
      </c>
      <c r="J78" s="11" t="s">
        <v>796</v>
      </c>
      <c r="K78" s="11"/>
      <c r="L78" s="11"/>
    </row>
    <row r="79" spans="2:12" x14ac:dyDescent="0.3">
      <c r="B79" s="10">
        <v>77</v>
      </c>
      <c r="C79" s="26"/>
      <c r="D79" s="26"/>
      <c r="E79" s="11"/>
      <c r="F79" s="11" t="s">
        <v>120</v>
      </c>
      <c r="G79" s="24"/>
      <c r="H79" s="10" t="s">
        <v>355</v>
      </c>
      <c r="I79" s="10" t="s">
        <v>793</v>
      </c>
      <c r="J79" s="11" t="s">
        <v>796</v>
      </c>
      <c r="K79" s="11"/>
      <c r="L79" s="11"/>
    </row>
    <row r="80" spans="2:12" x14ac:dyDescent="0.3">
      <c r="B80" s="10">
        <v>78</v>
      </c>
      <c r="C80" s="26"/>
      <c r="D80" s="26"/>
      <c r="E80" s="11" t="s">
        <v>121</v>
      </c>
      <c r="F80" s="11" t="s">
        <v>503</v>
      </c>
      <c r="G80" s="11" t="s">
        <v>491</v>
      </c>
      <c r="H80" s="10" t="s">
        <v>355</v>
      </c>
      <c r="I80" s="10" t="s">
        <v>793</v>
      </c>
      <c r="J80" s="11" t="s">
        <v>796</v>
      </c>
      <c r="K80" s="11"/>
      <c r="L80" s="11"/>
    </row>
    <row r="81" spans="2:12" ht="24" x14ac:dyDescent="0.3">
      <c r="B81" s="10">
        <v>79</v>
      </c>
      <c r="C81" s="26"/>
      <c r="D81" s="26"/>
      <c r="E81" s="11"/>
      <c r="F81" s="11" t="s">
        <v>233</v>
      </c>
      <c r="G81" s="11" t="s">
        <v>52</v>
      </c>
      <c r="H81" s="10" t="s">
        <v>355</v>
      </c>
      <c r="I81" s="10" t="s">
        <v>793</v>
      </c>
      <c r="J81" s="11" t="s">
        <v>796</v>
      </c>
      <c r="K81" s="11"/>
      <c r="L81" s="11"/>
    </row>
    <row r="82" spans="2:12" x14ac:dyDescent="0.3">
      <c r="B82" s="10">
        <v>80</v>
      </c>
      <c r="C82" s="26"/>
      <c r="D82" s="26"/>
      <c r="E82" s="11" t="s">
        <v>703</v>
      </c>
      <c r="F82" s="11" t="s">
        <v>269</v>
      </c>
      <c r="G82" s="11" t="s">
        <v>154</v>
      </c>
      <c r="H82" s="10" t="s">
        <v>355</v>
      </c>
      <c r="I82" s="10" t="s">
        <v>793</v>
      </c>
      <c r="J82" s="11" t="s">
        <v>796</v>
      </c>
      <c r="K82" s="11"/>
      <c r="L82" s="11"/>
    </row>
    <row r="83" spans="2:12" x14ac:dyDescent="0.3">
      <c r="B83" s="10">
        <v>81</v>
      </c>
      <c r="C83" s="26"/>
      <c r="D83" s="26"/>
      <c r="E83" s="11"/>
      <c r="F83" s="11" t="s">
        <v>740</v>
      </c>
      <c r="G83" s="11" t="s">
        <v>403</v>
      </c>
      <c r="H83" s="10" t="s">
        <v>355</v>
      </c>
      <c r="I83" s="10" t="s">
        <v>793</v>
      </c>
      <c r="J83" s="11" t="s">
        <v>796</v>
      </c>
      <c r="K83" s="11"/>
      <c r="L83" s="11"/>
    </row>
    <row r="84" spans="2:12" x14ac:dyDescent="0.3">
      <c r="B84" s="10">
        <v>82</v>
      </c>
      <c r="C84" s="26"/>
      <c r="D84" s="26"/>
      <c r="E84" s="11" t="s">
        <v>597</v>
      </c>
      <c r="F84" s="11" t="s">
        <v>499</v>
      </c>
      <c r="G84" s="11" t="s">
        <v>409</v>
      </c>
      <c r="H84" s="10" t="s">
        <v>355</v>
      </c>
      <c r="I84" s="10" t="s">
        <v>793</v>
      </c>
      <c r="J84" s="11" t="s">
        <v>796</v>
      </c>
      <c r="K84" s="11"/>
      <c r="L84" s="11"/>
    </row>
    <row r="85" spans="2:12" ht="24" x14ac:dyDescent="0.3">
      <c r="B85" s="10">
        <v>83</v>
      </c>
      <c r="C85" s="26"/>
      <c r="D85" s="26"/>
      <c r="E85" s="11"/>
      <c r="F85" s="11" t="s">
        <v>94</v>
      </c>
      <c r="G85" s="11" t="s">
        <v>53</v>
      </c>
      <c r="H85" s="10" t="s">
        <v>355</v>
      </c>
      <c r="I85" s="10" t="s">
        <v>793</v>
      </c>
      <c r="J85" s="11" t="s">
        <v>796</v>
      </c>
      <c r="K85" s="11"/>
      <c r="L85" s="11"/>
    </row>
    <row r="86" spans="2:12" x14ac:dyDescent="0.3">
      <c r="B86" s="10">
        <v>84</v>
      </c>
      <c r="C86" s="26"/>
      <c r="D86" s="26"/>
      <c r="E86" s="11" t="s">
        <v>531</v>
      </c>
      <c r="F86" s="11" t="s">
        <v>157</v>
      </c>
      <c r="G86" s="11" t="s">
        <v>618</v>
      </c>
      <c r="H86" s="10" t="s">
        <v>355</v>
      </c>
      <c r="I86" s="10" t="s">
        <v>793</v>
      </c>
      <c r="J86" s="11" t="s">
        <v>796</v>
      </c>
      <c r="K86" s="11"/>
      <c r="L86" s="11"/>
    </row>
    <row r="87" spans="2:12" x14ac:dyDescent="0.3">
      <c r="B87" s="10">
        <v>85</v>
      </c>
      <c r="C87" s="26"/>
      <c r="D87" s="26"/>
      <c r="E87" s="11"/>
      <c r="F87" s="11" t="s">
        <v>175</v>
      </c>
      <c r="G87" s="24" t="s">
        <v>714</v>
      </c>
      <c r="H87" s="10" t="s">
        <v>355</v>
      </c>
      <c r="I87" s="10" t="s">
        <v>793</v>
      </c>
      <c r="J87" s="11" t="s">
        <v>796</v>
      </c>
      <c r="K87" s="11"/>
      <c r="L87" s="11"/>
    </row>
    <row r="88" spans="2:12" x14ac:dyDescent="0.3">
      <c r="B88" s="10">
        <v>86</v>
      </c>
      <c r="C88" s="26"/>
      <c r="D88" s="26"/>
      <c r="E88" s="11"/>
      <c r="F88" s="11" t="s">
        <v>104</v>
      </c>
      <c r="G88" s="24"/>
      <c r="H88" s="10" t="s">
        <v>355</v>
      </c>
      <c r="I88" s="10" t="s">
        <v>793</v>
      </c>
      <c r="J88" s="11" t="s">
        <v>796</v>
      </c>
      <c r="K88" s="11"/>
      <c r="L88" s="11"/>
    </row>
    <row r="89" spans="2:12" x14ac:dyDescent="0.3">
      <c r="B89" s="10">
        <v>87</v>
      </c>
      <c r="C89" s="26"/>
      <c r="D89" s="26"/>
      <c r="E89" s="11"/>
      <c r="F89" s="11" t="s">
        <v>288</v>
      </c>
      <c r="G89" s="11" t="s">
        <v>407</v>
      </c>
      <c r="H89" s="10" t="s">
        <v>355</v>
      </c>
      <c r="I89" s="10" t="s">
        <v>793</v>
      </c>
      <c r="J89" s="11" t="s">
        <v>796</v>
      </c>
      <c r="K89" s="11"/>
      <c r="L89" s="11"/>
    </row>
    <row r="90" spans="2:12" x14ac:dyDescent="0.3">
      <c r="B90" s="10">
        <v>88</v>
      </c>
      <c r="C90" s="26"/>
      <c r="D90" s="26"/>
      <c r="E90" s="11" t="s">
        <v>635</v>
      </c>
      <c r="F90" s="11" t="s">
        <v>252</v>
      </c>
      <c r="G90" s="11" t="s">
        <v>178</v>
      </c>
      <c r="H90" s="10" t="s">
        <v>355</v>
      </c>
      <c r="I90" s="10" t="s">
        <v>793</v>
      </c>
      <c r="J90" s="11" t="s">
        <v>796</v>
      </c>
      <c r="K90" s="11"/>
      <c r="L90" s="11"/>
    </row>
    <row r="91" spans="2:12" x14ac:dyDescent="0.3">
      <c r="B91" s="10">
        <v>89</v>
      </c>
      <c r="C91" s="26"/>
      <c r="D91" s="26"/>
      <c r="E91" s="11"/>
      <c r="F91" s="11" t="s">
        <v>743</v>
      </c>
      <c r="G91" s="11" t="s">
        <v>702</v>
      </c>
      <c r="H91" s="10" t="s">
        <v>355</v>
      </c>
      <c r="I91" s="10" t="s">
        <v>793</v>
      </c>
      <c r="J91" s="11" t="s">
        <v>796</v>
      </c>
      <c r="K91" s="11"/>
      <c r="L91" s="11"/>
    </row>
    <row r="92" spans="2:12" ht="24" x14ac:dyDescent="0.3">
      <c r="B92" s="10">
        <v>90</v>
      </c>
      <c r="C92" s="26"/>
      <c r="D92" s="26"/>
      <c r="E92" s="11"/>
      <c r="F92" s="11" t="s">
        <v>181</v>
      </c>
      <c r="G92" s="11" t="s">
        <v>18</v>
      </c>
      <c r="H92" s="10" t="s">
        <v>355</v>
      </c>
      <c r="I92" s="10" t="s">
        <v>793</v>
      </c>
      <c r="J92" s="11" t="s">
        <v>796</v>
      </c>
      <c r="K92" s="11"/>
      <c r="L92" s="11"/>
    </row>
    <row r="93" spans="2:12" x14ac:dyDescent="0.3">
      <c r="B93" s="10">
        <v>91</v>
      </c>
      <c r="C93" s="26"/>
      <c r="D93" s="26"/>
      <c r="E93" s="11" t="s">
        <v>624</v>
      </c>
      <c r="F93" s="11" t="s">
        <v>117</v>
      </c>
      <c r="G93" s="11" t="s">
        <v>603</v>
      </c>
      <c r="H93" s="10" t="s">
        <v>355</v>
      </c>
      <c r="I93" s="10" t="s">
        <v>793</v>
      </c>
      <c r="J93" s="11" t="s">
        <v>796</v>
      </c>
      <c r="K93" s="11"/>
      <c r="L93" s="11"/>
    </row>
    <row r="94" spans="2:12" x14ac:dyDescent="0.3">
      <c r="B94" s="10">
        <v>92</v>
      </c>
      <c r="C94" s="26"/>
      <c r="D94" s="26"/>
      <c r="E94" s="11" t="s">
        <v>577</v>
      </c>
      <c r="F94" s="11" t="s">
        <v>518</v>
      </c>
      <c r="G94" s="11" t="s">
        <v>710</v>
      </c>
      <c r="H94" s="10" t="s">
        <v>355</v>
      </c>
      <c r="I94" s="10" t="s">
        <v>793</v>
      </c>
      <c r="J94" s="11" t="s">
        <v>796</v>
      </c>
      <c r="K94" s="11"/>
      <c r="L94" s="11"/>
    </row>
    <row r="95" spans="2:12" x14ac:dyDescent="0.3">
      <c r="B95" s="10">
        <v>93</v>
      </c>
      <c r="C95" s="26"/>
      <c r="D95" s="26"/>
      <c r="E95" s="11" t="s">
        <v>649</v>
      </c>
      <c r="F95" s="11" t="s">
        <v>406</v>
      </c>
      <c r="G95" s="11" t="s">
        <v>406</v>
      </c>
      <c r="H95" s="10" t="s">
        <v>355</v>
      </c>
      <c r="I95" s="10" t="s">
        <v>793</v>
      </c>
      <c r="J95" s="11" t="s">
        <v>796</v>
      </c>
      <c r="K95" s="11"/>
      <c r="L95" s="11"/>
    </row>
    <row r="96" spans="2:12" x14ac:dyDescent="0.3">
      <c r="B96" s="10">
        <v>94</v>
      </c>
      <c r="C96" s="26"/>
      <c r="D96" s="26"/>
      <c r="E96" s="11" t="s">
        <v>595</v>
      </c>
      <c r="F96" s="11" t="s">
        <v>408</v>
      </c>
      <c r="G96" s="11" t="s">
        <v>408</v>
      </c>
      <c r="H96" s="10" t="s">
        <v>355</v>
      </c>
      <c r="I96" s="10" t="s">
        <v>793</v>
      </c>
      <c r="J96" s="11" t="s">
        <v>796</v>
      </c>
      <c r="K96" s="11"/>
      <c r="L96" s="11"/>
    </row>
    <row r="97" spans="2:12" x14ac:dyDescent="0.3">
      <c r="B97" s="10">
        <v>95</v>
      </c>
      <c r="C97" s="26"/>
      <c r="D97" s="26" t="s">
        <v>321</v>
      </c>
      <c r="E97" s="11"/>
      <c r="F97" s="11" t="s">
        <v>769</v>
      </c>
      <c r="G97" s="11" t="s">
        <v>717</v>
      </c>
      <c r="H97" s="10" t="s">
        <v>355</v>
      </c>
      <c r="I97" s="10" t="s">
        <v>793</v>
      </c>
      <c r="J97" s="11" t="s">
        <v>796</v>
      </c>
      <c r="K97" s="11"/>
      <c r="L97" s="11"/>
    </row>
    <row r="98" spans="2:12" ht="24" x14ac:dyDescent="0.3">
      <c r="B98" s="10">
        <v>96</v>
      </c>
      <c r="C98" s="26"/>
      <c r="D98" s="26"/>
      <c r="E98" s="11" t="s">
        <v>174</v>
      </c>
      <c r="F98" s="11" t="s">
        <v>62</v>
      </c>
      <c r="G98" s="11" t="s">
        <v>54</v>
      </c>
      <c r="H98" s="10" t="s">
        <v>355</v>
      </c>
      <c r="I98" s="10" t="s">
        <v>793</v>
      </c>
      <c r="J98" s="11" t="s">
        <v>796</v>
      </c>
      <c r="K98" s="11"/>
      <c r="L98" s="11"/>
    </row>
    <row r="99" spans="2:12" ht="24" x14ac:dyDescent="0.3">
      <c r="B99" s="10">
        <v>97</v>
      </c>
      <c r="C99" s="26"/>
      <c r="D99" s="26"/>
      <c r="E99" s="11" t="s">
        <v>614</v>
      </c>
      <c r="F99" s="11" t="s">
        <v>2</v>
      </c>
      <c r="G99" s="11" t="s">
        <v>42</v>
      </c>
      <c r="H99" s="10" t="s">
        <v>355</v>
      </c>
      <c r="I99" s="10" t="s">
        <v>793</v>
      </c>
      <c r="J99" s="11" t="s">
        <v>796</v>
      </c>
      <c r="K99" s="11"/>
      <c r="L99" s="11"/>
    </row>
    <row r="100" spans="2:12" ht="24" x14ac:dyDescent="0.3">
      <c r="B100" s="10">
        <v>98</v>
      </c>
      <c r="C100" s="26"/>
      <c r="D100" s="26"/>
      <c r="E100" s="11" t="s">
        <v>148</v>
      </c>
      <c r="F100" s="11" t="s">
        <v>5</v>
      </c>
      <c r="G100" s="11" t="s">
        <v>23</v>
      </c>
      <c r="H100" s="10" t="s">
        <v>355</v>
      </c>
      <c r="I100" s="10" t="s">
        <v>793</v>
      </c>
      <c r="J100" s="11" t="s">
        <v>796</v>
      </c>
      <c r="K100" s="11"/>
      <c r="L100" s="11"/>
    </row>
    <row r="101" spans="2:12" ht="24" x14ac:dyDescent="0.3">
      <c r="B101" s="10">
        <v>99</v>
      </c>
      <c r="C101" s="26"/>
      <c r="D101" s="26"/>
      <c r="E101" s="11" t="s">
        <v>664</v>
      </c>
      <c r="F101" s="11" t="s">
        <v>3</v>
      </c>
      <c r="G101" s="11" t="s">
        <v>10</v>
      </c>
      <c r="H101" s="10" t="s">
        <v>355</v>
      </c>
      <c r="I101" s="10" t="s">
        <v>793</v>
      </c>
      <c r="J101" s="11" t="s">
        <v>796</v>
      </c>
      <c r="K101" s="11"/>
      <c r="L101" s="11"/>
    </row>
    <row r="102" spans="2:12" x14ac:dyDescent="0.3">
      <c r="B102" s="10">
        <v>100</v>
      </c>
      <c r="C102" s="26"/>
      <c r="D102" s="26"/>
      <c r="E102" s="11"/>
      <c r="F102" s="11" t="s">
        <v>445</v>
      </c>
      <c r="G102" s="11" t="s">
        <v>621</v>
      </c>
      <c r="H102" s="10" t="s">
        <v>355</v>
      </c>
      <c r="I102" s="10" t="s">
        <v>793</v>
      </c>
      <c r="J102" s="11" t="s">
        <v>796</v>
      </c>
      <c r="K102" s="11"/>
      <c r="L102" s="11"/>
    </row>
    <row r="103" spans="2:12" x14ac:dyDescent="0.3">
      <c r="B103" s="10">
        <v>101</v>
      </c>
      <c r="C103" s="26"/>
      <c r="D103" s="26"/>
      <c r="E103" s="11" t="s">
        <v>176</v>
      </c>
      <c r="F103" s="11" t="s">
        <v>510</v>
      </c>
      <c r="G103" s="11" t="s">
        <v>399</v>
      </c>
      <c r="H103" s="10" t="s">
        <v>355</v>
      </c>
      <c r="I103" s="10" t="s">
        <v>793</v>
      </c>
      <c r="J103" s="11" t="s">
        <v>796</v>
      </c>
      <c r="K103" s="11"/>
      <c r="L103" s="11"/>
    </row>
    <row r="104" spans="2:12" x14ac:dyDescent="0.3">
      <c r="B104" s="10">
        <v>102</v>
      </c>
      <c r="C104" s="26"/>
      <c r="D104" s="26"/>
      <c r="E104" s="11" t="s">
        <v>620</v>
      </c>
      <c r="F104" s="11" t="s">
        <v>515</v>
      </c>
      <c r="G104" s="11" t="s">
        <v>379</v>
      </c>
      <c r="H104" s="10" t="s">
        <v>355</v>
      </c>
      <c r="I104" s="10" t="s">
        <v>793</v>
      </c>
      <c r="J104" s="11" t="s">
        <v>796</v>
      </c>
      <c r="K104" s="11"/>
      <c r="L104" s="11"/>
    </row>
    <row r="105" spans="2:12" x14ac:dyDescent="0.3">
      <c r="B105" s="10">
        <v>103</v>
      </c>
      <c r="C105" s="26"/>
      <c r="D105" s="26"/>
      <c r="E105" s="11" t="s">
        <v>103</v>
      </c>
      <c r="F105" s="11" t="s">
        <v>487</v>
      </c>
      <c r="G105" s="11" t="s">
        <v>420</v>
      </c>
      <c r="H105" s="10" t="s">
        <v>355</v>
      </c>
      <c r="I105" s="10" t="s">
        <v>793</v>
      </c>
      <c r="J105" s="11" t="s">
        <v>796</v>
      </c>
      <c r="K105" s="11"/>
      <c r="L105" s="11"/>
    </row>
    <row r="106" spans="2:12" x14ac:dyDescent="0.3">
      <c r="B106" s="10">
        <v>104</v>
      </c>
      <c r="C106" s="26"/>
      <c r="D106" s="26"/>
      <c r="E106" s="11" t="s">
        <v>604</v>
      </c>
      <c r="F106" s="11" t="s">
        <v>540</v>
      </c>
      <c r="G106" s="11" t="s">
        <v>415</v>
      </c>
      <c r="H106" s="10" t="s">
        <v>355</v>
      </c>
      <c r="I106" s="10" t="s">
        <v>793</v>
      </c>
      <c r="J106" s="11" t="s">
        <v>796</v>
      </c>
      <c r="K106" s="11"/>
      <c r="L106" s="11"/>
    </row>
    <row r="107" spans="2:12" x14ac:dyDescent="0.3">
      <c r="B107" s="10">
        <v>105</v>
      </c>
      <c r="C107" s="26"/>
      <c r="D107" s="26"/>
      <c r="E107" s="11" t="s">
        <v>521</v>
      </c>
      <c r="F107" s="11" t="s">
        <v>623</v>
      </c>
      <c r="G107" s="11" t="s">
        <v>609</v>
      </c>
      <c r="H107" s="10" t="s">
        <v>355</v>
      </c>
      <c r="I107" s="10" t="s">
        <v>793</v>
      </c>
      <c r="J107" s="11" t="s">
        <v>796</v>
      </c>
      <c r="K107" s="11"/>
      <c r="L107" s="11"/>
    </row>
    <row r="108" spans="2:12" x14ac:dyDescent="0.3">
      <c r="B108" s="10">
        <v>106</v>
      </c>
      <c r="C108" s="26"/>
      <c r="D108" s="26"/>
      <c r="E108" s="11" t="s">
        <v>673</v>
      </c>
      <c r="F108" s="11" t="s">
        <v>601</v>
      </c>
      <c r="G108" s="11" t="s">
        <v>628</v>
      </c>
      <c r="H108" s="10" t="s">
        <v>355</v>
      </c>
      <c r="I108" s="10" t="s">
        <v>793</v>
      </c>
      <c r="J108" s="11" t="s">
        <v>796</v>
      </c>
      <c r="K108" s="11"/>
      <c r="L108" s="11"/>
    </row>
    <row r="109" spans="2:12" ht="24" x14ac:dyDescent="0.3">
      <c r="B109" s="10">
        <v>107</v>
      </c>
      <c r="C109" s="26"/>
      <c r="D109" s="26"/>
      <c r="E109" s="11" t="s">
        <v>63</v>
      </c>
      <c r="F109" s="11" t="s">
        <v>525</v>
      </c>
      <c r="G109" s="11" t="s">
        <v>544</v>
      </c>
      <c r="H109" s="10" t="s">
        <v>355</v>
      </c>
      <c r="I109" s="10" t="s">
        <v>793</v>
      </c>
      <c r="J109" s="11" t="s">
        <v>796</v>
      </c>
      <c r="K109" s="11"/>
      <c r="L109" s="11"/>
    </row>
    <row r="110" spans="2:12" x14ac:dyDescent="0.3">
      <c r="B110" s="10">
        <v>108</v>
      </c>
      <c r="C110" s="26"/>
      <c r="D110" s="26"/>
      <c r="E110" s="11" t="s">
        <v>509</v>
      </c>
      <c r="F110" s="11" t="s">
        <v>659</v>
      </c>
      <c r="G110" s="11" t="s">
        <v>709</v>
      </c>
      <c r="H110" s="10" t="s">
        <v>355</v>
      </c>
      <c r="I110" s="10" t="s">
        <v>793</v>
      </c>
      <c r="J110" s="11" t="s">
        <v>796</v>
      </c>
      <c r="K110" s="11"/>
      <c r="L110" s="11"/>
    </row>
    <row r="111" spans="2:12" x14ac:dyDescent="0.3">
      <c r="B111" s="10">
        <v>109</v>
      </c>
      <c r="C111" s="26"/>
      <c r="D111" s="26"/>
      <c r="E111" s="11" t="s">
        <v>700</v>
      </c>
      <c r="F111" s="11" t="s">
        <v>637</v>
      </c>
      <c r="G111" s="11" t="s">
        <v>690</v>
      </c>
      <c r="H111" s="10" t="s">
        <v>355</v>
      </c>
      <c r="I111" s="10" t="s">
        <v>793</v>
      </c>
      <c r="J111" s="11" t="s">
        <v>796</v>
      </c>
      <c r="K111" s="11"/>
      <c r="L111" s="11"/>
    </row>
    <row r="112" spans="2:12" ht="24" x14ac:dyDescent="0.3">
      <c r="B112" s="10">
        <v>110</v>
      </c>
      <c r="C112" s="26"/>
      <c r="D112" s="26"/>
      <c r="E112" s="11" t="s">
        <v>21</v>
      </c>
      <c r="F112" s="11" t="s">
        <v>507</v>
      </c>
      <c r="G112" s="11" t="s">
        <v>502</v>
      </c>
      <c r="H112" s="10" t="s">
        <v>355</v>
      </c>
      <c r="I112" s="10" t="s">
        <v>793</v>
      </c>
      <c r="J112" s="11" t="s">
        <v>796</v>
      </c>
      <c r="K112" s="11"/>
      <c r="L112" s="11"/>
    </row>
    <row r="113" spans="2:12" ht="24" x14ac:dyDescent="0.3">
      <c r="B113" s="10">
        <v>111</v>
      </c>
      <c r="C113" s="26"/>
      <c r="D113" s="26" t="s">
        <v>451</v>
      </c>
      <c r="E113" s="11" t="s">
        <v>388</v>
      </c>
      <c r="F113" s="11" t="s">
        <v>530</v>
      </c>
      <c r="G113" s="11" t="s">
        <v>522</v>
      </c>
      <c r="H113" s="10" t="s">
        <v>355</v>
      </c>
      <c r="I113" s="10" t="s">
        <v>793</v>
      </c>
      <c r="J113" s="11" t="s">
        <v>796</v>
      </c>
      <c r="K113" s="11"/>
      <c r="L113" s="11"/>
    </row>
    <row r="114" spans="2:12" ht="24" x14ac:dyDescent="0.3">
      <c r="B114" s="10">
        <v>112</v>
      </c>
      <c r="C114" s="26"/>
      <c r="D114" s="26"/>
      <c r="E114" s="11" t="s">
        <v>468</v>
      </c>
      <c r="F114" s="11" t="s">
        <v>377</v>
      </c>
      <c r="G114" s="11" t="s">
        <v>22</v>
      </c>
      <c r="H114" s="10" t="s">
        <v>355</v>
      </c>
      <c r="I114" s="10" t="s">
        <v>793</v>
      </c>
      <c r="J114" s="11" t="s">
        <v>796</v>
      </c>
      <c r="K114" s="11"/>
      <c r="L114" s="11"/>
    </row>
    <row r="115" spans="2:12" ht="24" x14ac:dyDescent="0.3">
      <c r="B115" s="10">
        <v>113</v>
      </c>
      <c r="C115" s="26"/>
      <c r="D115" s="26"/>
      <c r="E115" s="11" t="s">
        <v>309</v>
      </c>
      <c r="F115" s="11" t="s">
        <v>697</v>
      </c>
      <c r="G115" s="11" t="s">
        <v>520</v>
      </c>
      <c r="H115" s="10" t="s">
        <v>355</v>
      </c>
      <c r="I115" s="10" t="s">
        <v>793</v>
      </c>
      <c r="J115" s="11" t="s">
        <v>796</v>
      </c>
      <c r="K115" s="11"/>
      <c r="L115" s="11"/>
    </row>
    <row r="116" spans="2:12" ht="24" x14ac:dyDescent="0.3">
      <c r="B116" s="10">
        <v>114</v>
      </c>
      <c r="C116" s="26"/>
      <c r="D116" s="26"/>
      <c r="E116" s="11" t="s">
        <v>470</v>
      </c>
      <c r="F116" s="11" t="s">
        <v>410</v>
      </c>
      <c r="G116" s="11" t="s">
        <v>418</v>
      </c>
      <c r="H116" s="10" t="s">
        <v>355</v>
      </c>
      <c r="I116" s="10" t="s">
        <v>793</v>
      </c>
      <c r="J116" s="11" t="s">
        <v>796</v>
      </c>
      <c r="K116" s="11"/>
      <c r="L116" s="11"/>
    </row>
    <row r="117" spans="2:12" ht="24" x14ac:dyDescent="0.3">
      <c r="B117" s="10">
        <v>115</v>
      </c>
      <c r="C117" s="26"/>
      <c r="D117" s="26"/>
      <c r="E117" s="11" t="s">
        <v>474</v>
      </c>
      <c r="F117" s="11" t="s">
        <v>6</v>
      </c>
      <c r="G117" s="11" t="s">
        <v>374</v>
      </c>
      <c r="H117" s="10" t="s">
        <v>355</v>
      </c>
      <c r="I117" s="10" t="s">
        <v>793</v>
      </c>
      <c r="J117" s="11" t="s">
        <v>796</v>
      </c>
      <c r="K117" s="11"/>
      <c r="L117" s="11"/>
    </row>
    <row r="118" spans="2:12" ht="24" x14ac:dyDescent="0.3">
      <c r="B118" s="10">
        <v>116</v>
      </c>
      <c r="C118" s="26"/>
      <c r="D118" s="26"/>
      <c r="E118" s="11" t="s">
        <v>368</v>
      </c>
      <c r="F118" s="11" t="s">
        <v>19</v>
      </c>
      <c r="G118" s="11" t="s">
        <v>41</v>
      </c>
      <c r="H118" s="10" t="s">
        <v>355</v>
      </c>
      <c r="I118" s="10" t="s">
        <v>793</v>
      </c>
      <c r="J118" s="11" t="s">
        <v>796</v>
      </c>
      <c r="K118" s="11"/>
      <c r="L118" s="11"/>
    </row>
    <row r="119" spans="2:12" ht="24" x14ac:dyDescent="0.3">
      <c r="B119" s="10">
        <v>117</v>
      </c>
      <c r="C119" s="26"/>
      <c r="D119" s="26"/>
      <c r="E119" s="11" t="s">
        <v>391</v>
      </c>
      <c r="F119" s="11" t="s">
        <v>713</v>
      </c>
      <c r="G119" s="11" t="s">
        <v>527</v>
      </c>
      <c r="H119" s="10" t="s">
        <v>355</v>
      </c>
      <c r="I119" s="10" t="s">
        <v>793</v>
      </c>
      <c r="J119" s="11" t="s">
        <v>796</v>
      </c>
      <c r="K119" s="11"/>
      <c r="L119" s="11"/>
    </row>
    <row r="120" spans="2:12" ht="24" x14ac:dyDescent="0.3">
      <c r="B120" s="10">
        <v>118</v>
      </c>
      <c r="C120" s="26"/>
      <c r="D120" s="26"/>
      <c r="E120" s="11" t="s">
        <v>475</v>
      </c>
      <c r="F120" s="11" t="s">
        <v>378</v>
      </c>
      <c r="G120" s="11" t="s">
        <v>417</v>
      </c>
      <c r="H120" s="10" t="s">
        <v>355</v>
      </c>
      <c r="I120" s="10" t="s">
        <v>793</v>
      </c>
      <c r="J120" s="11" t="s">
        <v>796</v>
      </c>
      <c r="K120" s="11"/>
      <c r="L120" s="11"/>
    </row>
    <row r="121" spans="2:12" ht="24" x14ac:dyDescent="0.3">
      <c r="B121" s="10">
        <v>119</v>
      </c>
      <c r="C121" s="26"/>
      <c r="D121" s="26"/>
      <c r="E121" s="11" t="s">
        <v>390</v>
      </c>
      <c r="F121" s="11" t="s">
        <v>713</v>
      </c>
      <c r="G121" s="11" t="s">
        <v>527</v>
      </c>
      <c r="H121" s="10" t="s">
        <v>355</v>
      </c>
      <c r="I121" s="10" t="s">
        <v>793</v>
      </c>
      <c r="J121" s="11" t="s">
        <v>796</v>
      </c>
      <c r="K121" s="11"/>
      <c r="L121" s="11"/>
    </row>
    <row r="122" spans="2:12" ht="24" x14ac:dyDescent="0.3">
      <c r="B122" s="10">
        <v>120</v>
      </c>
      <c r="C122" s="26"/>
      <c r="D122" s="26"/>
      <c r="E122" s="11" t="s">
        <v>469</v>
      </c>
      <c r="F122" s="11" t="s">
        <v>378</v>
      </c>
      <c r="G122" s="11" t="s">
        <v>417</v>
      </c>
      <c r="H122" s="10" t="s">
        <v>355</v>
      </c>
      <c r="I122" s="10" t="s">
        <v>793</v>
      </c>
      <c r="J122" s="11" t="s">
        <v>796</v>
      </c>
      <c r="K122" s="11"/>
      <c r="L122" s="11"/>
    </row>
    <row r="123" spans="2:12" ht="24" x14ac:dyDescent="0.3">
      <c r="B123" s="10">
        <v>121</v>
      </c>
      <c r="C123" s="26"/>
      <c r="D123" s="26" t="s">
        <v>345</v>
      </c>
      <c r="E123" s="11" t="s">
        <v>11</v>
      </c>
      <c r="F123" s="11" t="s">
        <v>711</v>
      </c>
      <c r="G123" s="11" t="s">
        <v>512</v>
      </c>
      <c r="H123" s="10" t="s">
        <v>355</v>
      </c>
      <c r="I123" s="10" t="s">
        <v>793</v>
      </c>
      <c r="J123" s="11" t="s">
        <v>796</v>
      </c>
      <c r="K123" s="11"/>
      <c r="L123" s="11"/>
    </row>
    <row r="124" spans="2:12" ht="24" x14ac:dyDescent="0.3">
      <c r="B124" s="10">
        <v>122</v>
      </c>
      <c r="C124" s="26"/>
      <c r="D124" s="26"/>
      <c r="E124" s="11" t="s">
        <v>310</v>
      </c>
      <c r="F124" s="11" t="s">
        <v>523</v>
      </c>
      <c r="G124" s="11" t="s">
        <v>382</v>
      </c>
      <c r="H124" s="10" t="s">
        <v>355</v>
      </c>
      <c r="I124" s="10" t="s">
        <v>793</v>
      </c>
      <c r="J124" s="11" t="s">
        <v>796</v>
      </c>
      <c r="K124" s="11"/>
      <c r="L124" s="11"/>
    </row>
    <row r="125" spans="2:12" ht="24" x14ac:dyDescent="0.3">
      <c r="B125" s="10">
        <v>123</v>
      </c>
      <c r="C125" s="26"/>
      <c r="D125" s="26"/>
      <c r="E125" s="11" t="s">
        <v>48</v>
      </c>
      <c r="F125" s="11" t="s">
        <v>705</v>
      </c>
      <c r="G125" s="11" t="s">
        <v>721</v>
      </c>
      <c r="H125" s="10" t="s">
        <v>355</v>
      </c>
      <c r="I125" s="10" t="s">
        <v>793</v>
      </c>
      <c r="J125" s="11" t="s">
        <v>796</v>
      </c>
      <c r="K125" s="11"/>
      <c r="L125" s="11"/>
    </row>
    <row r="126" spans="2:12" ht="24" x14ac:dyDescent="0.3">
      <c r="B126" s="10">
        <v>124</v>
      </c>
      <c r="C126" s="26"/>
      <c r="D126" s="26"/>
      <c r="E126" s="11" t="s">
        <v>68</v>
      </c>
      <c r="F126" s="11" t="s">
        <v>489</v>
      </c>
      <c r="G126" s="11" t="s">
        <v>400</v>
      </c>
      <c r="H126" s="10" t="s">
        <v>355</v>
      </c>
      <c r="I126" s="10" t="s">
        <v>793</v>
      </c>
      <c r="J126" s="11" t="s">
        <v>796</v>
      </c>
      <c r="K126" s="11"/>
      <c r="L126" s="11"/>
    </row>
    <row r="127" spans="2:12" ht="24" x14ac:dyDescent="0.3">
      <c r="B127" s="10">
        <v>125</v>
      </c>
      <c r="C127" s="26"/>
      <c r="D127" s="26"/>
      <c r="E127" s="11" t="s">
        <v>58</v>
      </c>
      <c r="F127" s="11" t="s">
        <v>715</v>
      </c>
      <c r="G127" s="11" t="s">
        <v>688</v>
      </c>
      <c r="H127" s="10" t="s">
        <v>355</v>
      </c>
      <c r="I127" s="10" t="s">
        <v>793</v>
      </c>
      <c r="J127" s="11" t="s">
        <v>796</v>
      </c>
      <c r="K127" s="11"/>
      <c r="L127" s="11"/>
    </row>
    <row r="128" spans="2:12" ht="24" x14ac:dyDescent="0.3">
      <c r="B128" s="10">
        <v>126</v>
      </c>
      <c r="C128" s="26"/>
      <c r="D128" s="26"/>
      <c r="E128" s="11" t="s">
        <v>387</v>
      </c>
      <c r="F128" s="11" t="s">
        <v>542</v>
      </c>
      <c r="G128" s="11" t="s">
        <v>381</v>
      </c>
      <c r="H128" s="10" t="s">
        <v>355</v>
      </c>
      <c r="I128" s="10" t="s">
        <v>793</v>
      </c>
      <c r="J128" s="11" t="s">
        <v>796</v>
      </c>
      <c r="K128" s="11"/>
      <c r="L128" s="11"/>
    </row>
    <row r="129" spans="2:12" ht="24" x14ac:dyDescent="0.3">
      <c r="B129" s="10">
        <v>127</v>
      </c>
      <c r="C129" s="26"/>
      <c r="D129" s="26"/>
      <c r="E129" s="11" t="s">
        <v>44</v>
      </c>
      <c r="F129" s="11" t="s">
        <v>715</v>
      </c>
      <c r="G129" s="11" t="s">
        <v>688</v>
      </c>
      <c r="H129" s="10" t="s">
        <v>355</v>
      </c>
      <c r="I129" s="10" t="s">
        <v>793</v>
      </c>
      <c r="J129" s="11" t="s">
        <v>796</v>
      </c>
      <c r="K129" s="11"/>
      <c r="L129" s="11"/>
    </row>
    <row r="130" spans="2:12" ht="24" x14ac:dyDescent="0.3">
      <c r="B130" s="10">
        <v>128</v>
      </c>
      <c r="C130" s="26"/>
      <c r="D130" s="26"/>
      <c r="E130" s="11" t="s">
        <v>386</v>
      </c>
      <c r="F130" s="11" t="s">
        <v>542</v>
      </c>
      <c r="G130" s="11" t="s">
        <v>381</v>
      </c>
      <c r="H130" s="10" t="s">
        <v>355</v>
      </c>
      <c r="I130" s="10" t="s">
        <v>793</v>
      </c>
      <c r="J130" s="11" t="s">
        <v>796</v>
      </c>
      <c r="K130" s="11"/>
      <c r="L130" s="11"/>
    </row>
    <row r="131" spans="2:12" ht="24" x14ac:dyDescent="0.3">
      <c r="B131" s="10">
        <v>129</v>
      </c>
      <c r="C131" s="26"/>
      <c r="D131" s="26"/>
      <c r="E131" s="11" t="s">
        <v>493</v>
      </c>
      <c r="F131" s="11" t="s">
        <v>59</v>
      </c>
      <c r="G131" s="11" t="s">
        <v>308</v>
      </c>
      <c r="H131" s="10" t="s">
        <v>355</v>
      </c>
      <c r="I131" s="10" t="s">
        <v>793</v>
      </c>
      <c r="J131" s="11" t="s">
        <v>796</v>
      </c>
      <c r="K131" s="11"/>
      <c r="L131" s="11"/>
    </row>
    <row r="132" spans="2:12" x14ac:dyDescent="0.3">
      <c r="B132" s="10">
        <v>130</v>
      </c>
      <c r="C132" s="26"/>
      <c r="D132" s="26" t="s">
        <v>322</v>
      </c>
      <c r="E132" s="11" t="s">
        <v>223</v>
      </c>
      <c r="F132" s="11" t="s">
        <v>638</v>
      </c>
      <c r="G132" s="11" t="s">
        <v>733</v>
      </c>
      <c r="H132" s="10" t="s">
        <v>792</v>
      </c>
      <c r="I132" s="10"/>
      <c r="J132" s="11"/>
      <c r="K132" s="11"/>
      <c r="L132" s="11"/>
    </row>
    <row r="133" spans="2:12" x14ac:dyDescent="0.3">
      <c r="B133" s="10">
        <v>131</v>
      </c>
      <c r="C133" s="26"/>
      <c r="D133" s="26"/>
      <c r="E133" s="11" t="s">
        <v>240</v>
      </c>
      <c r="F133" s="11" t="s">
        <v>680</v>
      </c>
      <c r="G133" s="11" t="s">
        <v>500</v>
      </c>
      <c r="H133" s="10" t="s">
        <v>792</v>
      </c>
      <c r="I133" s="10"/>
      <c r="J133" s="11"/>
      <c r="K133" s="11"/>
      <c r="L133" s="11"/>
    </row>
    <row r="134" spans="2:12" x14ac:dyDescent="0.3">
      <c r="B134" s="10">
        <v>132</v>
      </c>
      <c r="C134" s="26"/>
      <c r="D134" s="26"/>
      <c r="E134" s="11" t="s">
        <v>234</v>
      </c>
      <c r="F134" s="11" t="s">
        <v>699</v>
      </c>
      <c r="G134" s="11" t="s">
        <v>513</v>
      </c>
      <c r="H134" s="10" t="s">
        <v>792</v>
      </c>
      <c r="I134" s="10"/>
      <c r="J134" s="11"/>
      <c r="K134" s="11"/>
      <c r="L134" s="11"/>
    </row>
    <row r="135" spans="2:12" x14ac:dyDescent="0.3">
      <c r="B135" s="10">
        <v>133</v>
      </c>
      <c r="C135" s="26"/>
      <c r="D135" s="26"/>
      <c r="E135" s="11" t="s">
        <v>287</v>
      </c>
      <c r="F135" s="11" t="s">
        <v>716</v>
      </c>
      <c r="G135" s="11" t="s">
        <v>514</v>
      </c>
      <c r="H135" s="10" t="s">
        <v>792</v>
      </c>
      <c r="I135" s="10"/>
      <c r="J135" s="11"/>
      <c r="K135" s="11"/>
      <c r="L135" s="11"/>
    </row>
    <row r="136" spans="2:12" x14ac:dyDescent="0.3">
      <c r="B136" s="10">
        <v>134</v>
      </c>
      <c r="C136" s="26"/>
      <c r="D136" s="26"/>
      <c r="E136" s="11" t="s">
        <v>232</v>
      </c>
      <c r="F136" s="11" t="s">
        <v>724</v>
      </c>
      <c r="G136" s="11" t="s">
        <v>506</v>
      </c>
      <c r="H136" s="10" t="s">
        <v>792</v>
      </c>
      <c r="I136" s="10"/>
      <c r="J136" s="11"/>
      <c r="K136" s="11"/>
      <c r="L136" s="11"/>
    </row>
    <row r="137" spans="2:12" x14ac:dyDescent="0.3">
      <c r="B137" s="10">
        <v>135</v>
      </c>
      <c r="C137" s="26"/>
      <c r="D137" s="26"/>
      <c r="E137" s="11" t="s">
        <v>439</v>
      </c>
      <c r="F137" s="11" t="s">
        <v>642</v>
      </c>
      <c r="G137" s="11" t="s">
        <v>692</v>
      </c>
      <c r="H137" s="10" t="s">
        <v>792</v>
      </c>
      <c r="I137" s="10"/>
      <c r="J137" s="11"/>
      <c r="K137" s="11"/>
      <c r="L137" s="11"/>
    </row>
    <row r="138" spans="2:12" x14ac:dyDescent="0.3">
      <c r="H138" s="1"/>
    </row>
  </sheetData>
  <mergeCells count="23">
    <mergeCell ref="D132:D137"/>
    <mergeCell ref="C43:C137"/>
    <mergeCell ref="D44:D57"/>
    <mergeCell ref="E48:E49"/>
    <mergeCell ref="F48:F49"/>
    <mergeCell ref="D69:D76"/>
    <mergeCell ref="D77:D96"/>
    <mergeCell ref="G48:G49"/>
    <mergeCell ref="E55:E56"/>
    <mergeCell ref="F55:F56"/>
    <mergeCell ref="G55:G56"/>
    <mergeCell ref="D58:D68"/>
    <mergeCell ref="G77:G79"/>
    <mergeCell ref="G87:G88"/>
    <mergeCell ref="D97:D112"/>
    <mergeCell ref="D113:D122"/>
    <mergeCell ref="D123:D131"/>
    <mergeCell ref="C3:C42"/>
    <mergeCell ref="D3:D4"/>
    <mergeCell ref="D5:D9"/>
    <mergeCell ref="D10:D23"/>
    <mergeCell ref="D24:D37"/>
    <mergeCell ref="D38:D42"/>
  </mergeCells>
  <phoneticPr fontId="6" type="noConversion"/>
  <conditionalFormatting sqref="H3:H151">
    <cfRule type="cellIs" dxfId="4" priority="1" operator="equal">
      <formula>"Blocked"</formula>
    </cfRule>
    <cfRule type="cellIs" dxfId="3" priority="2" operator="equal">
      <formula>"Fail"</formula>
    </cfRule>
    <cfRule type="cellIs" dxfId="2" priority="3" operator="equal">
      <formula>"Pass"</formula>
    </cfRule>
    <cfRule type="cellIs" dxfId="1" priority="4" operator="equal">
      <formula>"Not Tested"</formula>
    </cfRule>
    <cfRule type="cellIs" dxfId="0" priority="5" operator="equal">
      <formula>"N/A"</formula>
    </cfRule>
  </conditionalFormatting>
  <dataValidations count="2">
    <dataValidation type="list" allowBlank="1" showInputMessage="1" showErrorMessage="1" sqref="N3:N7" xr:uid="{00000000-0002-0000-0300-000000000000}">
      <formula1>$N$3</formula1>
    </dataValidation>
    <dataValidation type="list" allowBlank="1" showInputMessage="1" showErrorMessage="1" sqref="H3:H137" xr:uid="{00000000-0002-0000-0300-000001000000}">
      <formula1>$N$3:$N$7</formula1>
    </dataValidation>
  </dataValidations>
  <pageMargins left="0.74805557727813721" right="0.74805557727813721" top="0.98430556058883667" bottom="0.98430556058883667" header="0.51138889789581299" footer="0.51138889789581299"/>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1649</TotalTime>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1</vt:i4>
      </vt:variant>
    </vt:vector>
  </HeadingPairs>
  <TitlesOfParts>
    <vt:vector size="5" baseType="lpstr">
      <vt:lpstr>프로젝트 진행률</vt:lpstr>
      <vt:lpstr>TC_메인화면</vt:lpstr>
      <vt:lpstr>TC_튜토리얼</vt:lpstr>
      <vt:lpstr>TC_인게임</vt:lpstr>
      <vt:lpstr>'프로젝트 진행률'!Print_Area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가이 김</cp:lastModifiedBy>
  <cp:revision>95</cp:revision>
  <dcterms:created xsi:type="dcterms:W3CDTF">2025-08-17T01:42:14Z</dcterms:created>
  <dcterms:modified xsi:type="dcterms:W3CDTF">2026-02-03T02:47:44Z</dcterms:modified>
  <cp:version>1100.0100.01</cp:version>
</cp:coreProperties>
</file>